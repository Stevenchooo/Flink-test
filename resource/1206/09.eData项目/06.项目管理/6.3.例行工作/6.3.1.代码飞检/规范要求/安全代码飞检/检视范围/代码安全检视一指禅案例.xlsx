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15" yWindow="6090" windowWidth="12240" windowHeight="5970" tabRatio="582" activeTab="1"/>
  </bookViews>
  <sheets>
    <sheet name="java&amp;web代码安全检视CheckList" sheetId="4" r:id="rId1"/>
    <sheet name="Sheet2" sheetId="8" r:id="rId2"/>
  </sheets>
  <definedNames>
    <definedName name="_xlnm._FilterDatabase" localSheetId="0" hidden="1">'java&amp;web代码安全检视CheckList'!$A$11:$G$11</definedName>
  </definedNames>
  <calcPr calcId="125725"/>
</workbook>
</file>

<file path=xl/calcChain.xml><?xml version="1.0" encoding="utf-8"?>
<calcChain xmlns="http://schemas.openxmlformats.org/spreadsheetml/2006/main">
  <c r="D8" i="4"/>
  <c r="B8"/>
  <c r="D7"/>
  <c r="B7"/>
  <c r="D6"/>
  <c r="B6"/>
  <c r="B9" l="1"/>
  <c r="D5"/>
  <c r="D9"/>
  <c r="B5"/>
</calcChain>
</file>

<file path=xl/sharedStrings.xml><?xml version="1.0" encoding="utf-8"?>
<sst xmlns="http://schemas.openxmlformats.org/spreadsheetml/2006/main" count="126" uniqueCount="126">
  <si>
    <t>检查指导</t>
    <phoneticPr fontId="1" type="noConversion"/>
  </si>
  <si>
    <t>正确示例</t>
    <phoneticPr fontId="9" type="noConversion"/>
  </si>
  <si>
    <t>备注</t>
    <phoneticPr fontId="9" type="noConversion"/>
  </si>
  <si>
    <t>序号</t>
    <phoneticPr fontId="9" type="noConversion"/>
  </si>
  <si>
    <t>检查项</t>
    <phoneticPr fontId="1" type="noConversion"/>
  </si>
  <si>
    <r>
      <t>密级</t>
    </r>
    <r>
      <rPr>
        <sz val="12"/>
        <color indexed="12"/>
        <rFont val="Arial"/>
        <family val="2"/>
      </rPr>
      <t xml:space="preserve">: </t>
    </r>
    <r>
      <rPr>
        <sz val="12"/>
        <color indexed="12"/>
        <rFont val="宋体"/>
        <family val="3"/>
        <charset val="134"/>
      </rPr>
      <t>内部公开</t>
    </r>
    <phoneticPr fontId="5" type="noConversion"/>
  </si>
  <si>
    <t>项目编号</t>
    <phoneticPr fontId="5" type="noConversion"/>
  </si>
  <si>
    <t>总项数</t>
    <phoneticPr fontId="5" type="noConversion"/>
  </si>
  <si>
    <t>符合项数</t>
    <phoneticPr fontId="5" type="noConversion"/>
  </si>
  <si>
    <t>不符合项数</t>
    <phoneticPr fontId="5" type="noConversion"/>
  </si>
  <si>
    <t>检查日期</t>
    <phoneticPr fontId="5" type="noConversion"/>
  </si>
  <si>
    <t>NA项数</t>
    <phoneticPr fontId="5" type="noConversion"/>
  </si>
  <si>
    <t>审查内容</t>
    <phoneticPr fontId="5" type="noConversion"/>
  </si>
  <si>
    <t>符合度</t>
    <phoneticPr fontId="5" type="noConversion"/>
  </si>
  <si>
    <t>说明</t>
    <phoneticPr fontId="5" type="noConversion"/>
  </si>
  <si>
    <t>(XXXX / IPD-CMMI VX.X)</t>
    <phoneticPr fontId="5" type="noConversion"/>
  </si>
  <si>
    <t>责任人</t>
    <phoneticPr fontId="5" type="noConversion"/>
  </si>
  <si>
    <t>检查者</t>
    <phoneticPr fontId="5" type="noConversion"/>
  </si>
  <si>
    <r>
      <t xml:space="preserve">Code </t>
    </r>
    <r>
      <rPr>
        <b/>
        <sz val="16"/>
        <color indexed="12"/>
        <rFont val="宋体"/>
        <family val="3"/>
        <charset val="134"/>
      </rPr>
      <t>检查单</t>
    </r>
    <phoneticPr fontId="5" type="noConversion"/>
  </si>
  <si>
    <t>排查情况</t>
    <phoneticPr fontId="9" type="noConversion"/>
  </si>
  <si>
    <t>错误示例</t>
    <phoneticPr fontId="1" type="noConversion"/>
  </si>
  <si>
    <t>无</t>
    <phoneticPr fontId="1" type="noConversion"/>
  </si>
  <si>
    <t>1、文件大小是否根据流大小进行判断。
2、非文本性文件类型是否采用文件头信息进行白名单校验。
3、保存文件时文件名称是否进行归一化校验或者重新使用随机数重命名。</t>
    <phoneticPr fontId="1" type="noConversion"/>
  </si>
  <si>
    <r>
      <t>public boolean checkTakeOverFile(File file, String fileName)
    {
        if (null == file || StringUtils.isEmpty(fileName))
        {
            logger.error("file is null or filename is null");
            return false;
        }
        if ((</t>
    </r>
    <r>
      <rPr>
        <sz val="10"/>
        <color rgb="FFFF0000"/>
        <rFont val="宋体"/>
        <family val="3"/>
        <charset val="134"/>
        <scheme val="minor"/>
      </rPr>
      <t>!fileName.endsWith(Constants.FileType.TAKEOVERFILETYPE1))
                &amp;&amp; (!fileName.endsWith(Constants.FileType.TAKEOVERFILETYPE2)</t>
    </r>
    <r>
      <rPr>
        <sz val="10"/>
        <rFont val="宋体"/>
        <family val="3"/>
        <charset val="134"/>
        <scheme val="minor"/>
      </rPr>
      <t xml:space="preserve">))
        {  </t>
    </r>
    <r>
      <rPr>
        <sz val="10"/>
        <color rgb="FFFF0000"/>
        <rFont val="宋体"/>
        <family val="3"/>
        <charset val="134"/>
        <scheme val="minor"/>
      </rPr>
      <t>//【错误】根据后缀名来判断文件类型</t>
    </r>
    <r>
      <rPr>
        <sz val="10"/>
        <rFont val="宋体"/>
        <family val="3"/>
        <charset val="134"/>
        <scheme val="minor"/>
      </rPr>
      <t xml:space="preserve">
            logger.error("The takeover file format is not valid.");
            return false;
        }
        return true;
    }</t>
    </r>
    <phoneticPr fontId="1" type="noConversion"/>
  </si>
  <si>
    <r>
      <t xml:space="preserve">public static void unzipFile(String zipfileName, String targetFolder,
            List&lt;String&gt; extentsionTypes)
    {
        ZipFile zipFile = null;
        try
        {
            zipFile = new ZipFile(zipfileName);
            Enumeration&lt;? extends ZipEntry&gt; entries = zipFile.entries();
            while (entries.hasMoreElements())
            {
                ZipEntry zipEntry = entries.nextElement();
                </t>
    </r>
    <r>
      <rPr>
        <b/>
        <sz val="10"/>
        <color rgb="FFFF0000"/>
        <rFont val="宋体"/>
        <family val="3"/>
        <charset val="134"/>
        <scheme val="minor"/>
      </rPr>
      <t>//【错误】没有判断文件大小</t>
    </r>
    <r>
      <rPr>
        <sz val="10"/>
        <rFont val="宋体"/>
        <family val="3"/>
        <charset val="134"/>
        <scheme val="minor"/>
      </rPr>
      <t xml:space="preserve">
                String fileName = zipEntry.getName();
                String fileExtension = null;
                if (null == fileName)
                {
                    continue;
                }
                else if (fileName.indexOf('.') != -1)
                {
                    fileExtension = fileName.substring(fileName.indexOf('.') + 1,
                            fileName.length());
                }
                InputStream reader = null;
                try
                {
                    reader = zipFile.getInputStream(zipEntry);
                    //不过滤或者根据扩展过滤
                    if (null == extentsionTypes
                            || extentsionTypes.contains(fileExtension))
                    {
                  </t>
    </r>
    <r>
      <rPr>
        <b/>
        <sz val="10"/>
        <color rgb="FFFF0000"/>
        <rFont val="宋体"/>
        <family val="3"/>
        <charset val="134"/>
        <scheme val="minor"/>
      </rPr>
      <t xml:space="preserve"> //【错误】直接用原始文件的名称作为新的文件名</t>
    </r>
    <r>
      <rPr>
        <sz val="10"/>
        <rFont val="宋体"/>
        <family val="3"/>
        <charset val="134"/>
        <scheme val="minor"/>
      </rPr>
      <t xml:space="preserve">
                        ZipUtil.saveFile(reader, fileName, targetFolder);
                    }
                    else
                    {
                        //不符合条件
                        ZipUtil.log.error("filter zip file " + fileName);
                    }
                }
...</t>
    </r>
    <phoneticPr fontId="1" type="noConversion"/>
  </si>
  <si>
    <t>来源于外部数据在输出到页面前是否根据不同场景做了相应的防XSS编码转义（如输出到html实体、html控件属性、js对象赋值、css赋值等</t>
    <phoneticPr fontId="1" type="noConversion"/>
  </si>
  <si>
    <t>外部数据用于构造SQL语句时是否根据不同场景采用了正确的防SQL注入方式（如构造字段值、表名、字段名、条件in中的集合等）</t>
    <phoneticPr fontId="1" type="noConversion"/>
  </si>
  <si>
    <t>1、如果外界输入是字段值，则采用PreparedStatement；
2、如果是表名或者是字段名，则严格使用白名单；
3、如果是条件in中的集合，则需要分隔开后再校验格式。
4、如果上面的方式都不能解决的，使用ESAPI中的转义函数</t>
    <phoneticPr fontId="1" type="noConversion"/>
  </si>
  <si>
    <r>
      <t>示例一：
【原始问题单】DTS2014042700550
【编程语言】android
【问题级别】Minor
【问题描述】执行的SQL语句使用了拼接的方式。
【代码片段】
public void handleAccountDelete(String accountType){
  try{
   String selection=CalendarContract.Events.SYNC_DATA1+"='"+BirthdayCalendar.BIRTHDAY_EVENT_TYPE+"' AND "+CalendarContract.Events.SYNC_DATA4+"='"+</t>
    </r>
    <r>
      <rPr>
        <sz val="10"/>
        <color rgb="FFFF0000"/>
        <rFont val="宋体"/>
        <family val="3"/>
        <charset val="134"/>
        <scheme val="minor"/>
      </rPr>
      <t>accountType</t>
    </r>
    <r>
      <rPr>
        <sz val="10"/>
        <rFont val="宋体"/>
        <family val="3"/>
        <charset val="134"/>
        <scheme val="minor"/>
      </rPr>
      <t xml:space="preserve">+"'";
</t>
    </r>
    <r>
      <rPr>
        <b/>
        <sz val="10"/>
        <color rgb="FFFF0000"/>
        <rFont val="宋体"/>
        <family val="3"/>
        <charset val="134"/>
        <scheme val="minor"/>
      </rPr>
      <t xml:space="preserve"> //【错误】直接将外部输入凭借到SQL语句中</t>
    </r>
    <r>
      <rPr>
        <sz val="10"/>
        <rFont val="宋体"/>
        <family val="3"/>
        <charset val="134"/>
        <scheme val="minor"/>
      </rPr>
      <t xml:space="preserve">
  ....
  }
}</t>
    </r>
    <phoneticPr fontId="1" type="noConversion"/>
  </si>
  <si>
    <t>对于需要授权访问的URL、资源、操作是否进行了正确的鉴权，URL鉴权是否采用了标准化的URL并采用白名单校验的方式。</t>
    <phoneticPr fontId="1" type="noConversion"/>
  </si>
  <si>
    <t>1、解压出来的文件是否检查文件大小。
2、解压出来的文件是否校验过文件类型。
2、解压出来的文件进行保存时是否对文件名称进行归一化处理或者使用随机数重命名。</t>
    <phoneticPr fontId="1" type="noConversion"/>
  </si>
  <si>
    <t>1、对于web来说常见的外部输入text、password、textareas、file表单域、hidden fields、selection boxes、check boxes、radio buttons、cookies、HTTP headers、热点链接包含的URL参数；
2、分析来自外部的输入内容具体输出到页面的什么位置，在输出之前是否进行编码、编码方式是否正确。具体的编码方式可以参考ESAPI中提供的对应函数</t>
    <phoneticPr fontId="1" type="noConversion"/>
  </si>
  <si>
    <t>1、分析每个URL请求是否属于指定角色的人才能访问。
2、分析每一种角色能访问的URL是否采用白名单。
3、分析对于URL鉴权时获得的请求URL是否是标准化后的URL。
4、分析请求的参数是否已经判断可以被当前用户操作。（张三不能修改李四的数据）</t>
    <phoneticPr fontId="1" type="noConversion"/>
  </si>
  <si>
    <t>XSS注入</t>
    <phoneticPr fontId="1" type="noConversion"/>
  </si>
  <si>
    <t>url注入问题</t>
    <phoneticPr fontId="1" type="noConversion"/>
  </si>
  <si>
    <t>URL绕过问题</t>
    <phoneticPr fontId="1" type="noConversion"/>
  </si>
  <si>
    <t xml:space="preserve">通过关键字搜索“.getRequestURL(”或者“getRequestURI”，查看所有获得url的用处，是否有拿来进行认证鉴权的动作。
例如：某个页面manager.jsp不允许访问，那么在filter中有如下逻辑：
if(req.getRequestURL().toString().endsWith("manager.jsp")){
            System.out.println("不可访问");
        }else{…
如果你使用XXXX/manager.jsp肯定是不能访问，但是如果使用XXXX/manager.jsp;aaa,那么后台req.getRequestURL()获得的是“XXXX/manager.jsp;aaa”，所以进入了else的分支，因此绕过了这个鉴权流程，但是最终访问的还是manager.jsp这个页面。
</t>
    <phoneticPr fontId="1" type="noConversion"/>
  </si>
  <si>
    <t>Zip解压文件</t>
    <phoneticPr fontId="1" type="noConversion"/>
  </si>
  <si>
    <t>后缀判断</t>
    <phoneticPr fontId="1" type="noConversion"/>
  </si>
  <si>
    <t>日志记录相关</t>
    <phoneticPr fontId="1" type="noConversion"/>
  </si>
  <si>
    <t xml:space="preserve">通过关键字“logger.”(也可以根据实际情况换关键字，有些可能是log.error)，
1. 查看记录日志时是否判断大小（防止DOS攻击），
2. 是否有过滤换行、回车、EOF字符（防止日志注入风险）。
</t>
    <phoneticPr fontId="1" type="noConversion"/>
  </si>
  <si>
    <t>跨目录遍历</t>
    <phoneticPr fontId="1" type="noConversion"/>
  </si>
  <si>
    <t>空字符注入问题</t>
    <phoneticPr fontId="1" type="noConversion"/>
  </si>
  <si>
    <t xml:space="preserve">通过关键字“File(”搜索所有java文件，是否将外部的输入作为文件名称一部分，并且后缀指定。
例如：String filename=request.getParameter(“filename”);
File file = new File(filename+".xml");
那么如果filename传进来的是“../../notes.txt\0”，那么这个\0就会起到截断的作用，最后获得的文件其实就是../../notes.txt ，即使原先指定了文件的格式也是被绕过的。
</t>
    <phoneticPr fontId="1" type="noConversion"/>
  </si>
  <si>
    <r>
      <t>1. SQL注入大部分情况都是通过字符串拼接造成的，可以通过</t>
    </r>
    <r>
      <rPr>
        <sz val="10"/>
        <color rgb="FFFF0000"/>
        <rFont val="宋体"/>
        <family val="3"/>
        <charset val="134"/>
        <scheme val="minor"/>
      </rPr>
      <t>'"+</t>
    </r>
    <r>
      <rPr>
        <sz val="10"/>
        <color theme="1"/>
        <rFont val="宋体"/>
        <family val="3"/>
        <charset val="134"/>
        <scheme val="minor"/>
      </rPr>
      <t>或者</t>
    </r>
    <r>
      <rPr>
        <sz val="10"/>
        <color rgb="FFFF0000"/>
        <rFont val="宋体"/>
        <family val="3"/>
        <charset val="134"/>
        <scheme val="minor"/>
      </rPr>
      <t>.append(</t>
    </r>
    <r>
      <rPr>
        <sz val="10"/>
        <color theme="1"/>
        <rFont val="宋体"/>
        <family val="3"/>
        <charset val="134"/>
        <scheme val="minor"/>
      </rPr>
      <t>用来定位字符串拼接的地方
2.如果是ibatis，则搜索所有的配置sql语句的xml文件，看有没有$符号，如果有类似于$value$,则应改为#value#</t>
    </r>
    <phoneticPr fontId="1" type="noConversion"/>
  </si>
  <si>
    <t>OS注入问题</t>
    <phoneticPr fontId="1" type="noConversion"/>
  </si>
  <si>
    <t>弱加密算法</t>
    <phoneticPr fontId="1" type="noConversion"/>
  </si>
  <si>
    <t>Java反射注入</t>
    <phoneticPr fontId="1" type="noConversion"/>
  </si>
  <si>
    <t>Java反序列化注入</t>
    <phoneticPr fontId="1" type="noConversion"/>
  </si>
  <si>
    <t>防csrf漏洞</t>
    <phoneticPr fontId="1" type="noConversion"/>
  </si>
  <si>
    <t>在所有页面索引关键词“form”，针对所有的form表达查看哪些是重要操作，重要操作场景是否在form表单中添加了安全随机数保护。
注：重要操作是指新增，修改，删除操作。加随机数的目的主要是为了在后台区分请求是通过点击form表单里的提交按钮还是通过点击链接进来的。</t>
    <phoneticPr fontId="1" type="noConversion"/>
  </si>
  <si>
    <t>敏感信息泄露</t>
    <phoneticPr fontId="1" type="noConversion"/>
  </si>
  <si>
    <t>XML注入</t>
    <phoneticPr fontId="1" type="noConversion"/>
  </si>
  <si>
    <t>查看是否使用外部变量来拼接xml字符串</t>
    <phoneticPr fontId="1" type="noConversion"/>
  </si>
  <si>
    <t>XML实体注入</t>
    <phoneticPr fontId="1" type="noConversion"/>
  </si>
  <si>
    <t>控制台打印</t>
    <phoneticPr fontId="1" type="noConversion"/>
  </si>
  <si>
    <t>main函数</t>
    <phoneticPr fontId="1" type="noConversion"/>
  </si>
  <si>
    <t>通过main(关键字来搜索</t>
    <phoneticPr fontId="1" type="noConversion"/>
  </si>
  <si>
    <t>重放攻击</t>
    <phoneticPr fontId="1" type="noConversion"/>
  </si>
  <si>
    <t>机机接口的请求报文中没有包含时间戳</t>
    <phoneticPr fontId="1" type="noConversion"/>
  </si>
  <si>
    <t>Socket不安全</t>
    <phoneticPr fontId="1" type="noConversion"/>
  </si>
  <si>
    <t>对外部输入文件的路径范围做校验时，应该使用其标准路径做比较</t>
    <phoneticPr fontId="1" type="noConversion"/>
  </si>
  <si>
    <t>禁止使用非信任输入拼接构建格式化字符串</t>
    <phoneticPr fontId="1" type="noConversion"/>
  </si>
  <si>
    <t>临时文件使用完毕之后应该及时删除</t>
    <phoneticPr fontId="1" type="noConversion"/>
  </si>
  <si>
    <t>资源使用完毕之后应该及时释放</t>
    <phoneticPr fontId="1" type="noConversion"/>
  </si>
  <si>
    <t>禁止序列化未加密的敏感信息</t>
    <phoneticPr fontId="1" type="noConversion"/>
  </si>
  <si>
    <t>对于类中的敏感信息字段，检查程序是否做到通过下列其中一种方式,阻止敏感信息字段被序列化：
1. 将敏感信息字段声明为"transient"
2. 自定义writeObject(), writeReplace(),  writeExternal()方法，不让敏感信息字段写入序列化流中
3. 定义serialPersistentFields数组，并将敏感信息字段排除在该数组之外</t>
    <phoneticPr fontId="1" type="noConversion"/>
  </si>
  <si>
    <t>若未使用安全通道，如SSL/TLS，传输包含敏感信息的序列化对象到信任边界之外，则需要对其先签名后加密</t>
    <phoneticPr fontId="1" type="noConversion"/>
  </si>
  <si>
    <t>不要信任环境变量的值</t>
    <phoneticPr fontId="1" type="noConversion"/>
  </si>
  <si>
    <t>对于安全敏感的应用场景，使用强随机数生成器</t>
    <phoneticPr fontId="1" type="noConversion"/>
  </si>
  <si>
    <t>典型的安全敏感应用如生成身份认证验证码、会话id、密钥相关的随机数，在这些场景中是否做到使用强随机数生成器:java.security.SecureRandom。</t>
    <phoneticPr fontId="1" type="noConversion"/>
  </si>
  <si>
    <t>禁止在代码中硬编码敏感信息，如口令、密钥、数据库连接字符串</t>
    <phoneticPr fontId="1" type="noConversion"/>
  </si>
  <si>
    <t>基于哈希算法的口令安全存储必须加入盐值（salt）</t>
    <phoneticPr fontId="1" type="noConversion"/>
  </si>
  <si>
    <t>检查程序中进行口令哈希的地方是否有加入盐值</t>
    <phoneticPr fontId="1" type="noConversion"/>
  </si>
  <si>
    <t>删除或修改没有使用到的变量或值，删除或修改没有效果的代码</t>
    <phoneticPr fontId="1" type="noConversion"/>
  </si>
  <si>
    <r>
      <t>禁止在日志中输出敏感信息，如</t>
    </r>
    <r>
      <rPr>
        <sz val="10"/>
        <color theme="1"/>
        <rFont val="宋体"/>
        <family val="2"/>
        <charset val="134"/>
        <scheme val="minor"/>
      </rPr>
      <t>明文口令/密文口令、密钥等。</t>
    </r>
    <phoneticPr fontId="1" type="noConversion"/>
  </si>
  <si>
    <t>对于内存中的敏感信息，使用完之后应该及时清除。</t>
    <phoneticPr fontId="1" type="noConversion"/>
  </si>
  <si>
    <t>1.检查程序是否做到将敏感信息保存在可变数据结构中，如byte[]、char[]
2.程序在使用完该数据后是否做到使用其他无意义的数据替代擦除原来的敏感数据，防止敏感数据在内存中滞留</t>
    <phoneticPr fontId="1" type="noConversion"/>
  </si>
  <si>
    <t>使用SSLSocket代替Socket来进行安全数据交互</t>
    <phoneticPr fontId="1" type="noConversion"/>
  </si>
  <si>
    <t>使用Socket来进行敏感数据的通信时，程序若在发送之前未对数据进行签名和加密，则需要使用SSLSocket来建立安全的数据传输通道。</t>
    <phoneticPr fontId="1" type="noConversion"/>
  </si>
  <si>
    <t>与非信任代码交互的类的同步操作要使用私有的、无法被非信任代码访问与修改的锁</t>
    <phoneticPr fontId="1" type="noConversion"/>
  </si>
  <si>
    <r>
      <t xml:space="preserve">public static void main(String[] args) 
{  
 File f = new File(System.getProperty("user.home") 
  + System.getProperty("file.separator") + args[0]);  
 </t>
    </r>
    <r>
      <rPr>
        <sz val="10"/>
        <color rgb="FFFF0000"/>
        <rFont val="宋体"/>
        <family val="3"/>
        <charset val="134"/>
        <scheme val="minor"/>
      </rPr>
      <t>String absPath = f.getAbsolutePath();</t>
    </r>
    <r>
      <rPr>
        <sz val="10"/>
        <color theme="1"/>
        <rFont val="宋体"/>
        <family val="3"/>
        <charset val="134"/>
        <scheme val="minor"/>
      </rPr>
      <t xml:space="preserve">   
 if (!isInSecureDir(Paths.get(absPath))) 
 {    
  throw new IllegalArgumentException();  
 }  
 if (!validate(absPath)) 
 {  
  // Validation    
  throw new IllegalArgumentException();  
 }
}</t>
    </r>
    <phoneticPr fontId="1" type="noConversion"/>
  </si>
  <si>
    <r>
      <t xml:space="preserve">public static void main(String[] args) throws IOException 
{  
 File f = new File(System.getProperty("user.home") 
  + System.getProperty("file.separator")+ args[0]);  
 </t>
    </r>
    <r>
      <rPr>
        <sz val="10"/>
        <color rgb="FFFF0000"/>
        <rFont val="宋体"/>
        <family val="3"/>
        <charset val="134"/>
        <scheme val="minor"/>
      </rPr>
      <t>String canonicalPath = f.getCanonicalPath();</t>
    </r>
    <r>
      <rPr>
        <sz val="10"/>
        <color theme="1"/>
        <rFont val="宋体"/>
        <family val="3"/>
        <charset val="134"/>
        <scheme val="minor"/>
      </rPr>
      <t xml:space="preserve">   
 if (!isInSecureDir(Paths.get(canonicalPath))) 
 {    
  throw new IllegalArgumentException();  
 }  
 if (!validate(canonicalPath)) 
 {  
  // Validation    
  throw new IllegalArgumentException();  
 }
}</t>
    </r>
    <phoneticPr fontId="1" type="noConversion"/>
  </si>
  <si>
    <r>
      <t xml:space="preserve">class Format
{
    static Calendar c = new GregorianCalendar(1995, GregorianCalendar.MAY, 23);
    public static void main(String[] args)
    {
        // args[0] is the credit card expiration date
        // Perform comparison with c,
        // if it doesn't match print the following line
        </t>
    </r>
    <r>
      <rPr>
        <sz val="10"/>
        <color rgb="FFFF0000"/>
        <rFont val="宋体"/>
        <family val="3"/>
        <charset val="134"/>
        <scheme val="minor"/>
      </rPr>
      <t>System.out.printf("%s did not match! "
                + " HINT: It was issued on %1$terd of some month", args[0], c)</t>
    </r>
    <r>
      <rPr>
        <sz val="10"/>
        <color theme="1"/>
        <rFont val="宋体"/>
        <family val="3"/>
        <charset val="134"/>
        <scheme val="minor"/>
      </rPr>
      <t>;
    }
}</t>
    </r>
    <phoneticPr fontId="1" type="noConversion"/>
  </si>
  <si>
    <t xml:space="preserve">class TempFile
{
    public static void main(String[] args) throws IOException
    {
        File f = new File("tempnam.tmp");
        if (f.exists())
        {
            System.out.println("This file already exists");
            return;
        }
        FileOutputStream fop = null;
        try
        {
            fop = new FileOutputStream(f);
            String str = "Data";
            fop.write(str.getBytes());
        }
        finally
        {
            if (fop != null)
            {
                try
                {
                    fop.close();
                }
                catch (IOException x)
                {
                    // handle error
                }
            }
        }
    }
}
</t>
    <phoneticPr fontId="1" type="noConversion"/>
  </si>
  <si>
    <t>public class TempFile
{
    public static void main(String[] args) throws IOException
    {
        File f = File.createTempFile("tempnam", ".tmp");
        FileOutputStream fop = null;
        try
        {
            fop = new FileOutputStream(f);
            String str = "Data";
            fop.write(str.getBytes());
            fop.flush();
        }
        finally
        {
            if (fop != null)
            {
                try
                {
                    fop.close();
                    f.delete(); //delete file when finished
                }
                catch (IOException x)
                {
                    // handle error
                }
            }
        }
    }  
}</t>
    <phoneticPr fontId="1" type="noConversion"/>
  </si>
  <si>
    <t xml:space="preserve">public int processFile(String fileName) throws IOException,
        FileNotFoundException
{
    FileInputStream stream = new FileInputStream(fileName);
    BufferedReader bufRead = new BufferedReader(new InputStreamReader(
            stream));
    String line;
    while ((line = bufRead.readLine()) != null)
    {
        sendLine(line);
    }
    return 1;
}
</t>
    <phoneticPr fontId="1" type="noConversion"/>
  </si>
  <si>
    <t>final FileInputStream stream = new FileInputStream(fileName);
try
{
    final BufferedReader bufRead = new BufferedReader(
            new InputStreamReader(stream));
    // ...
}
finally
{
    if (stream != null)
    {
        try
        {
            stream.close();
        }
        catch (IOException e)
        {
            // forward to handler
        }
    }
}</t>
    <phoneticPr fontId="1" type="noConversion"/>
  </si>
  <si>
    <t>public class Point implements Serializable
{
    private double x;
    private double y;
    public Point(double x, double y)
    {
        this.x = x;
        this.y = y;
    }
    public Point()
    {
        // no-argument constructor
    }
}</t>
    <phoneticPr fontId="1" type="noConversion"/>
  </si>
  <si>
    <t xml:space="preserve">public class Point implements Serializable
{
    private transient double x; // declared transient
    private transient double y; // declared transient
    public Point(double x, double y)
    {
        this.x = x;
        this.y = y;
    }
    public Point()
    {
        // no-argument constructor
    }
}
</t>
    <phoneticPr fontId="1" type="noConversion"/>
  </si>
  <si>
    <t>public static void main(String[] args) throws IOException,
        ClassNotFoundException
{
    // Build map
    SerializableMap&lt;String, Integer&gt; map = buildMap();
    // Serialize map
    ObjectOutputStream out = new ObjectOutputStream(new FileOutputStream(
            "data"));
    out.writeObject(map);
    out.close();
    // Deserialize map
    ObjectInputStream in = new ObjectInputStream(
            new FileInputStream("data"));
    map = (SerializableMap&lt;String, Integer&gt;) in.readObject();
    in.close();
    // Inspect map
    InspectMap(map);
}</t>
    <phoneticPr fontId="1" type="noConversion"/>
  </si>
  <si>
    <t>public static void main(String[] args) throws IOException,
        GeneralSecurityException, ClassNotFoundException
{
    // Build map
    SerializableMap&lt;String, Integer&gt; map = buildMap();
    // Generate signing public/private key pair &amp; sign map
    KeyPairGenerator kpg = KeyPairGenerator.getInstance("DSA");
    KeyPair kp = kpg.generateKeyPair();
    Signature sig = Signature.getInstance("SHA1withDSA");
    SignedObject signedMap = new SignedObject(map, kp.getPrivate(), sig);
    // Generate sealing key &amp; seal map
    KeyGenerator generator;
    generator = KeyGenerator.getInstance("AES");
    generator.init(new SecureRandom());
    Key key = generator.generateKey();
    Cipher cipher = Cipher.getInstance("AES");
    cipher.init(Cipher.ENCRYPT_MODE, key);
    SealedObject sealedMap = new SealedObject(signedMap, cipher);
    // Serialize map
    ObjectOutputStream out = new ObjectOutputStream(new FileOutputStream(
            "data"));
    out.writeObject(sealedMap);
    out.close();
    // Deserialize map
    ObjectInputStream in = new ObjectInputStream(
            new FileInputStream("data"));
    sealedMap = (SealedObject) in.readObject();
    in.close();
    // Unseal map
    cipher = Cipher.getInstance("AES");
    cipher.init(Cipher.DECRYPT_MODE, key);
    signedMap = (SignedObject) sealedMap.getObject(cipher);
    // Verify signature and retrieve map
    if (!signedMap.verify(kp.getPublic(), sig))
    {
        throw new GeneralSecurityException("Map failed verification");
    }
    map = (SerializableMap&lt;String, Integer&gt;) signedMap.getObject();
    // Inspect map
    InspectMap(map);
}</t>
    <phoneticPr fontId="1" type="noConversion"/>
  </si>
  <si>
    <t xml:space="preserve">import java.util.Random;
// ...
Random number = new Random(123L);
//...
for (int i = 0; i &lt; 20; i++) {
  // Generate another random integer in the range [0, 20]
  int n = number.nextInt(21);
  System.out.println(n);
}
</t>
    <phoneticPr fontId="1" type="noConversion"/>
  </si>
  <si>
    <t>import java.security.SecureRandom;
import java.security.NoSuchAlgorithmException;
// ...
public static void main (String args[]) {
   try {
     SecureRandom number = SecureRandom.getInstance("SHA1PRNG");
     // Generate 20 integers 0..20
     for (int i = 0; i &lt; 20; i++) {
       System.out.println(number.nextInt(21));
     }
   } catch (NoSuchAlgorithmException nsae) { 
     // Forward to handler
   }
}</t>
    <phoneticPr fontId="1" type="noConversion"/>
  </si>
  <si>
    <t>public final Connection getConnection() throws SQLException {
  return DriverManager.getConnection(
      "jdbc:mysql://localhost/dbName", 
      "username", "password");
}</t>
    <phoneticPr fontId="1" type="noConversion"/>
  </si>
  <si>
    <t>public final Connection getConnection() throws SQLException {
  String username;
  String password;
  // Username and password are read at runtime from a secure config file
  return DriverManager.getConnection(
      "jdbc:mysql://localhost/dbName", username, password);
}</t>
    <phoneticPr fontId="1" type="noConversion"/>
  </si>
  <si>
    <t xml:space="preserve">    public SmisClient(SmisAgent agent) throws Exception
    {
        host = agent.getAddress();
        plainPassword = agent.getPassword();
        cipherPassword = Md5Encoding.md5Encoding32bit(plainPassword);
        sha256CipherPassword = Sha2Crypt.sha256Crypt(plainPassword.getBytes());
        password = cipherPassword;
        port = agent.getPort();
        protocol = agent.getProtocol();
        userName = agent.getUserName();
        nameSpace = agent.getNamespace();
        connectId = agent.getConnectId();
        devType = agent.getDevType();
        agentObj = agent;
        login();
    }
</t>
    <phoneticPr fontId="1" type="noConversion"/>
  </si>
  <si>
    <t xml:space="preserve">public static byte[] createHash(char[] password)
        throws NoSuchAlgorithmException, InvalidKeySpecException
{
    SecureRandom random = SecureRandom.getInstance("SHA1PRNG");
    byte[] salt = new byte[8];
    random.nextBytes(salt);
    int iterCount = 50000;
    PBEKeySpec spec = new PBEKeySpec(password, salt, iterCount, 256);
    //PBKDF2WithHmacSHA256 is supportted from JDK1.8
    SecretKeyFactory skf = SecretKeyFactory.getInstance("PBKDF2WithHmacSHA256");
    byte[] hashed = skf.generateSecret(spec).getEncoded();
    return hashed;
}
</t>
    <phoneticPr fontId="1" type="noConversion"/>
  </si>
  <si>
    <t xml:space="preserve">class EchoServer
{
    public static void main(String[] args) throws IOException
    {
        // Exception handling has been omitted for the sake of brevity
        // ...
        SSLServerSocket SSLServerSocketFactory sslServerSocketFactory = (SSLServerSocketFactory) SSLServerSocketFactory.getDefault();
        sslServerSocket = (SSLServerSocket) sslServerSocketFactory.createServerSocket(9999);
        SSLSocket sslSocket = (SSLSocket) sslServerSocket.accept();
        PrintWriter out = new PrintWriter(sslSocket.getOutputStream(), true);
        BufferedReader in = new BufferedReader(new InputStreamReader(
                    sslSocket.getInputStream()));
        String inputLine;
        while ((inputLine = in.readLine()) != null)
        {
            System.out.println(inputLine);
            out.println(inputLine);
        }
        // ...
    }
    // ...
}
class EchoClient
{
    public static void main(String[] args) throws IOException
    {
        // Exception handling has been omitted for the sake of brevity
        // ...
        SSLSocket SSLSocketFactory sslSocketFactory = (SSLSocketFactory) SSLSocketFactory.getDefault();
        sslSocket = (SSLSocket) sslSocketFactory.createSocket(getServerIp(),
                    9999);
        PrintWriter out = new PrintWriter(sslSocket.getOutputStream(), true);
        BufferedReader in = new BufferedReader(new InputStreamReader(
                    sslSocket.getInputStream()));
        BufferedReader stdIn = new BufferedReader(new InputStreamReader(
                    System.in));
        String userInput;
        while ((userInput = stdIn.readLine()) != null)
        {
            out.println(userInput);
            System.out.println(in.readLine());
        }
        // ...
    }
    // ...
}
</t>
    <phoneticPr fontId="1" type="noConversion"/>
  </si>
  <si>
    <r>
      <t xml:space="preserve">public class SomeObject {
  // Locks on the object's monitor
  public </t>
    </r>
    <r>
      <rPr>
        <sz val="10"/>
        <color rgb="FFFF0000"/>
        <rFont val="宋体"/>
        <family val="3"/>
        <charset val="134"/>
        <scheme val="minor"/>
      </rPr>
      <t>synchronized</t>
    </r>
    <r>
      <rPr>
        <sz val="10"/>
        <color theme="1"/>
        <rFont val="宋体"/>
        <family val="3"/>
        <charset val="134"/>
        <scheme val="minor"/>
      </rPr>
      <t xml:space="preserve"> void changeValue() { 
    // ...
  }
}
// Untrusted code
SomeObject someObject = new SomeObject();
synchronized (someObject) {
  while (true) {
    // Indefinitely delay someObject
    Thread.sleep(Integer.MAX_VALUE); 
  }
}</t>
    </r>
    <phoneticPr fontId="1" type="noConversion"/>
  </si>
  <si>
    <r>
      <t xml:space="preserve">public class SomeObject {
  </t>
    </r>
    <r>
      <rPr>
        <sz val="10"/>
        <color rgb="FFFF0000"/>
        <rFont val="宋体"/>
        <family val="3"/>
        <charset val="134"/>
        <scheme val="minor"/>
      </rPr>
      <t>private final Object lock = new Object();</t>
    </r>
    <r>
      <rPr>
        <sz val="10"/>
        <color theme="1"/>
        <rFont val="宋体"/>
        <family val="3"/>
        <charset val="134"/>
        <scheme val="minor"/>
      </rPr>
      <t xml:space="preserve"> // private final lock object
  public void changeValue() {
    synchronized (lock) { // Locks on the private Object
      // ...
    }
  }
}</t>
    </r>
    <phoneticPr fontId="1" type="noConversion"/>
  </si>
  <si>
    <t>检查程序中是否做到通过
java.io.File.getCanonicalPath()或者java.io.File.getCanonicalFile().getPath()方法获取文件的标准路径，然后使用标准路径作为校验逻辑的输入。</t>
    <phoneticPr fontId="1" type="noConversion"/>
  </si>
  <si>
    <t>这种删除应该在finally体中进行删除</t>
    <phoneticPr fontId="1" type="noConversion"/>
  </si>
  <si>
    <t>程序在使用完文件句柄、网络连接、数据库连接等资源之后是否做到进行资源释放。释放应该在finally体中进行释放</t>
    <phoneticPr fontId="1" type="noConversion"/>
  </si>
  <si>
    <r>
      <t xml:space="preserve">public void actionPerformed(ActionEvent e) {
    String cmd = e.getActionCommand();
    if (OK.equals(cmd)) { //Process the password.
        </t>
    </r>
    <r>
      <rPr>
        <sz val="10"/>
        <color rgb="FFFF0000"/>
        <rFont val="宋体"/>
        <family val="3"/>
        <charset val="134"/>
        <scheme val="minor"/>
      </rPr>
      <t>String input = passwordField.getText()</t>
    </r>
    <r>
      <rPr>
        <sz val="10"/>
        <color theme="1"/>
        <rFont val="宋体"/>
        <family val="3"/>
        <charset val="134"/>
        <scheme val="minor"/>
      </rPr>
      <t>;
        if (isPasswordCorrect(input)) {
            JOptionPane.showMessageDialog(controllingFrame,
                "Success! You typed the right password.");
        } else {
            JOptionPane.showMessageDialog(controllingFrame,
                "Invalid password. Try again.",
                "Error Message",
                JOptionPane.ERROR_MESSAGE);
        }
        passwordField.selectAll();
        resetFocus();
    } else ...//handle the Help button...
}</t>
    </r>
    <phoneticPr fontId="1" type="noConversion"/>
  </si>
  <si>
    <r>
      <t xml:space="preserve">public void actionPerformed(ActionEvent e) {
    String cmd = e.getActionCommand();
    if (OK.equals(cmd)) { //Process the password.
        </t>
    </r>
    <r>
      <rPr>
        <sz val="10"/>
        <color rgb="FFFF0000"/>
        <rFont val="宋体"/>
        <family val="3"/>
        <charset val="134"/>
        <scheme val="minor"/>
      </rPr>
      <t xml:space="preserve">char[] input = passwordField.getPassword();
        </t>
    </r>
    <r>
      <rPr>
        <sz val="10"/>
        <rFont val="宋体"/>
        <family val="3"/>
        <charset val="134"/>
        <scheme val="minor"/>
      </rPr>
      <t>if (isPasswordCorrect(input))</t>
    </r>
    <r>
      <rPr>
        <sz val="10"/>
        <color theme="1"/>
        <rFont val="宋体"/>
        <family val="3"/>
        <charset val="134"/>
        <scheme val="minor"/>
      </rPr>
      <t xml:space="preserve"> {
            JOptionPane.showMessageDialog(controllingFrame,
                "Success! You typed the right password.");
        } else {
            JOptionPane.showMessageDialog(controllingFrame,
                "Invalid password. Try again.",
                "Error Message",
                JOptionPane.ERROR_MESSAGE);
        }
        //Zero out the possible password, for security.
</t>
    </r>
    <r>
      <rPr>
        <sz val="10"/>
        <color rgb="FFFF0000"/>
        <rFont val="宋体"/>
        <family val="3"/>
        <charset val="134"/>
        <scheme val="minor"/>
      </rPr>
      <t xml:space="preserve">        for (int i = 0; i &lt; input.length; i++) {
            input[i] = 0;
        }</t>
    </r>
    <r>
      <rPr>
        <sz val="10"/>
        <color theme="1"/>
        <rFont val="宋体"/>
        <family val="3"/>
        <charset val="134"/>
        <scheme val="minor"/>
      </rPr>
      <t xml:space="preserve">
        passwordField.selectAll();
        resetFocus();
    } else {
       //handle the Help button...    
    } 
}
</t>
    </r>
    <phoneticPr fontId="1" type="noConversion"/>
  </si>
  <si>
    <t xml:space="preserve">//Exception handling has been omitted for the sake of brevity
class EchoServer
{
    public static void main(String[] args) throws IOException
    {
        //Exception handling has been omitted for the sake of brevity
        //...
        ServerSocket serverSocket = new ServerSocket(9999);
        Socket socket = serverSocket.accept();
        PrintWriter out = new PrintWriter(socket.getOutputStream(), true);
        BufferedReader in = new BufferedReader(new InputStreamReader(
                    socket.getInputStream()));
        String inputLine;
        while ((inputLine = in.readLine()) != null)
        {
                System.out.println(inputLine);
                out.println(inputLine);
        }
        // ...
    }
    // ...
}
class EchoClient
{
    public static void main(String[] args) throws UnknownHostException,
            IOException
    {
        // Exception handling has been omitted for the sake of brevity
        // ...
        Socket socket = new Socket(getServerIp(), 9999);
        PrintWriter out = new PrintWriter(socket.getOutputStream(), true);
        BufferedReader in = new BufferedReader(new InputStreamReader(
                    socket.getInputStream()));
        BufferedReader stdIn = new BufferedReader(new InputStreamReader(
                    System.in));
        String userInput;
        while ((userInput = stdIn.readLine()) != null)
        {
            out.println(userInput);
            System.out.println(in.readLine());
        }
        // ...
    }
    // ...
}
</t>
    <phoneticPr fontId="1" type="noConversion"/>
  </si>
  <si>
    <t>通过EL表达式"${"或者"request.getParameter("搜索所有的页面的文件，检查对应的参数是否是直接或者间接来自外部的，如果是则考察是否做过转义。</t>
    <phoneticPr fontId="1" type="noConversion"/>
  </si>
  <si>
    <t xml:space="preserve">在页面文件中搜索“url=”或者“href=”,”action=”，查看所有的链接是否有从后台来的字段进行拼接，如果有的话，查看这些参数是否对&amp;、#字符进行转义或者过滤。
例子：url=“XXXX.do?name=${name}&amp;age=123&amp;address=hangzhou”
1. 如果name的值为：tom&amp;address=Shenzhen,
那么最终的url为XXXX.do?name= tom&amp;address=Shenzhen &amp;age=123&amp;address=Hangzhou
于是后台获得的address将会被篡改成shenzhen。
2. 如果name的值为：tom#
那么最终的url为XXXX.do?name= tom#&amp;age=123&amp;address=Hangzhou
于是后台获得的address和age都为null。
</t>
    <phoneticPr fontId="1" type="noConversion"/>
  </si>
  <si>
    <t xml:space="preserve">通过关键字搜索“ZipInputStream (”
1. 查看获得的zip文件在解压时有没有判断内部文件的大小（压缩比例可达到上千倍）
2. 在生成新文件时是否直接使用了内部文件的名称（防止出现跨目录攻击）
3. 文件类型有没有通过文件头进行判断（文本性文件通过后缀，非文本文件通过文件头）
</t>
    <phoneticPr fontId="1" type="noConversion"/>
  </si>
  <si>
    <t xml:space="preserve">通过关键字“.endsWith(”搜索。
1. 如果用来比较上传文件后缀的，那么有可能对文件类型校验不安全。
2. 如果用来对请求的url进行鉴权的，那么有可能有被绕过的可能。
</t>
    <phoneticPr fontId="1" type="noConversion"/>
  </si>
  <si>
    <t>通过搜索关键字“ObjectInputStream”查看是否有接受外部输入来进行反序列化的情形</t>
    <phoneticPr fontId="1" type="noConversion"/>
  </si>
  <si>
    <t>通过关键字“.forName”、“newInstance(”等关键字，查看是否存在通过外界输入来进行反射操作的情况。</t>
    <phoneticPr fontId="1" type="noConversion"/>
  </si>
  <si>
    <t>是否存在日志中记录敏感异常的问题：常见敏感异常包括：
 FileNotFoundException
 OutOfMemoryError
 StackOverflowError
 SQLException
日志中是否存在密码等敏感信息</t>
    <phoneticPr fontId="1" type="noConversion"/>
  </si>
  <si>
    <t>使用DocumentBuilder，SAXReader来解析xml文件，查看是否有如下的函数来关闭解析头部：
FEATURE = "http://apache.org/xml/features/disallow-doctype-decl";
sax.setFeature(FEATURE, true);
 FEATURE =
"http://xml.org/sax/features/external-general-entities";
 sax.setFeature(FEATURE, false);</t>
    <phoneticPr fontId="1" type="noConversion"/>
  </si>
  <si>
    <t>通过System.out来搜索</t>
    <phoneticPr fontId="1" type="noConversion"/>
  </si>
  <si>
    <t>通过关键字搜索Socket，看是否所有的地方都是使用了SSLSocket</t>
    <phoneticPr fontId="1" type="noConversion"/>
  </si>
  <si>
    <r>
      <t xml:space="preserve">class Format
{
    static Calendar c = new GregorianCalendar(1995, GregorianCalendar.MAY, 23);
    public static void main(String[] args)
    {
        // args[0] is the credit card expiration date
        // args[0] can contain either %1$tm, %1$te or %1$tY as malicious arguments
        // First argument prints 05 (May), second prints 23 (day)
        // and third prints 1995 (year)
        // Perform comparison with c, if it doesn't match print the following line
        </t>
    </r>
    <r>
      <rPr>
        <sz val="10"/>
        <color rgb="FFFF0000"/>
        <rFont val="宋体"/>
        <family val="3"/>
        <charset val="134"/>
        <scheme val="minor"/>
      </rPr>
      <t xml:space="preserve">System.out.printf(args[0] + " did not match! HINT: It was issued on %1$terd of some month", c);
    </t>
    </r>
    <r>
      <rPr>
        <sz val="10"/>
        <color theme="1"/>
        <rFont val="宋体"/>
        <family val="3"/>
        <charset val="134"/>
        <scheme val="minor"/>
      </rPr>
      <t xml:space="preserve">
    }
}</t>
    </r>
    <phoneticPr fontId="1" type="noConversion"/>
  </si>
  <si>
    <t>检查代码在读取操作系统环境变量的值(System.getenv())之后，在使用之前是否有对其做输入校验。</t>
    <phoneticPr fontId="1" type="noConversion"/>
  </si>
  <si>
    <t>外部非文本性文件上传时是否根据文件头而非文件后缀来判断文件类型、是否对文件名和路径进行了归一化再校验、是否有检查文件大小；对文件类型和路径校验是否采用了白名单方式</t>
    <phoneticPr fontId="1" type="noConversion"/>
  </si>
  <si>
    <t>对来自外部的文件进行解压时是否有检查压缩前的原始文件大小、以及是否有检查使用了压缩前的原始文件名作为新的文件名（存在DoS和跨目录风险）</t>
    <phoneticPr fontId="1" type="noConversion"/>
  </si>
  <si>
    <t xml:space="preserve">通过关键字“File(”搜索所有的java文件。
1. 如果File内部的参数是外界来的，那么获得的文件有可能发生目录遍历攻击，所以应该进行归一化处理，去掉例如../等符号。
</t>
    <phoneticPr fontId="1" type="noConversion"/>
  </si>
  <si>
    <t>SQL注入问题</t>
    <phoneticPr fontId="1" type="noConversion"/>
  </si>
  <si>
    <t>通过关键字“Runtime.exec(”或者“ProcessBuilder “查看是否有来自外部的字符串拼接</t>
    <phoneticPr fontId="1" type="noConversion"/>
  </si>
  <si>
    <t>搜索“MD5”、“SHA”、“AES”等关键字，对于每一种场景跟密码规范进行校对一一确认使用场景，例如：MD5算法如果拿来加密的肯定是不可以的，但是如果是拿来做完整性校验的，那么是可以的，不能一概而论。还有就是AES必须设置CBC模式。</t>
    <phoneticPr fontId="1" type="noConversion"/>
  </si>
  <si>
    <r>
      <t>示例一：直接输出到页面，没有采用合适的转义函数。
&lt;bme:label value="${name}"&gt;&lt;/bme:label&gt;
示例二：虽然进行使用了bme的转义函数，但是bme3.0版本之前的bme：html这个函数没有对单引号，空格进行转义，所以任然可以对用单引号的情况进行注入
&lt;input value=</t>
    </r>
    <r>
      <rPr>
        <sz val="10"/>
        <color rgb="FFFF0000"/>
        <rFont val="宋体"/>
        <family val="3"/>
        <charset val="134"/>
        <scheme val="minor"/>
      </rPr>
      <t xml:space="preserve">'${bme:html(def.dependency.paramValueText) }'
</t>
    </r>
    <r>
      <rPr>
        <sz val="10"/>
        <rFont val="宋体"/>
        <family val="3"/>
        <charset val="134"/>
        <scheme val="minor"/>
      </rPr>
      <t xml:space="preserve"> name="paramValueText" type="hidden"&gt;
&lt;/input&gt;</t>
    </r>
    <phoneticPr fontId="1" type="noConversion"/>
  </si>
</sst>
</file>

<file path=xl/styles.xml><?xml version="1.0" encoding="utf-8"?>
<styleSheet xmlns="http://schemas.openxmlformats.org/spreadsheetml/2006/main">
  <numFmts count="1">
    <numFmt numFmtId="176" formatCode="0;[Red]\-0"/>
  </numFmts>
  <fonts count="27">
    <font>
      <sz val="11"/>
      <color theme="1"/>
      <name val="宋体"/>
      <family val="2"/>
      <charset val="134"/>
      <scheme val="minor"/>
    </font>
    <font>
      <sz val="9"/>
      <name val="宋体"/>
      <family val="2"/>
      <charset val="134"/>
      <scheme val="minor"/>
    </font>
    <font>
      <sz val="10"/>
      <name val="Arial"/>
      <family val="2"/>
    </font>
    <font>
      <sz val="12"/>
      <name val="宋体"/>
      <family val="3"/>
      <charset val="134"/>
    </font>
    <font>
      <sz val="10"/>
      <color theme="1"/>
      <name val="宋体"/>
      <family val="3"/>
      <charset val="134"/>
      <scheme val="minor"/>
    </font>
    <font>
      <sz val="9"/>
      <name val="宋体"/>
      <family val="3"/>
      <charset val="134"/>
    </font>
    <font>
      <b/>
      <sz val="10"/>
      <name val="宋体"/>
      <family val="3"/>
      <charset val="134"/>
      <scheme val="minor"/>
    </font>
    <font>
      <sz val="10"/>
      <name val="宋体"/>
      <family val="3"/>
      <charset val="134"/>
      <scheme val="minor"/>
    </font>
    <font>
      <sz val="11"/>
      <color theme="1"/>
      <name val="宋体"/>
      <family val="3"/>
      <charset val="134"/>
      <scheme val="minor"/>
    </font>
    <font>
      <sz val="9"/>
      <name val="宋体"/>
      <family val="3"/>
      <charset val="134"/>
    </font>
    <font>
      <sz val="12"/>
      <name val="宋体"/>
      <family val="3"/>
      <charset val="134"/>
    </font>
    <font>
      <b/>
      <sz val="16"/>
      <color indexed="12"/>
      <name val="Arial"/>
      <family val="2"/>
    </font>
    <font>
      <b/>
      <sz val="16"/>
      <color indexed="12"/>
      <name val="宋体"/>
      <family val="3"/>
      <charset val="134"/>
    </font>
    <font>
      <sz val="12"/>
      <color indexed="12"/>
      <name val="Arial"/>
      <family val="2"/>
    </font>
    <font>
      <sz val="12"/>
      <color indexed="12"/>
      <name val="宋体"/>
      <family val="3"/>
      <charset val="134"/>
    </font>
    <font>
      <b/>
      <sz val="12"/>
      <name val="Times New Roman"/>
      <family val="1"/>
    </font>
    <font>
      <sz val="11"/>
      <name val="宋体"/>
      <family val="3"/>
      <charset val="134"/>
    </font>
    <font>
      <sz val="11"/>
      <name val="宋体"/>
      <family val="3"/>
      <charset val="134"/>
      <scheme val="minor"/>
    </font>
    <font>
      <b/>
      <sz val="11"/>
      <color theme="1"/>
      <name val="宋体"/>
      <family val="3"/>
      <charset val="134"/>
      <scheme val="minor"/>
    </font>
    <font>
      <sz val="12"/>
      <name val="宋体"/>
      <family val="3"/>
      <charset val="134"/>
    </font>
    <font>
      <sz val="12"/>
      <name val="宋体"/>
      <family val="3"/>
      <charset val="134"/>
    </font>
    <font>
      <sz val="10"/>
      <color rgb="FFFF0000"/>
      <name val="宋体"/>
      <family val="3"/>
      <charset val="134"/>
      <scheme val="minor"/>
    </font>
    <font>
      <b/>
      <sz val="10"/>
      <color rgb="FFFF0000"/>
      <name val="宋体"/>
      <family val="3"/>
      <charset val="134"/>
      <scheme val="minor"/>
    </font>
    <font>
      <sz val="12"/>
      <name val="宋体"/>
      <family val="3"/>
      <charset val="134"/>
    </font>
    <font>
      <sz val="11"/>
      <color rgb="FF000000"/>
      <name val="微软雅黑"/>
      <family val="2"/>
      <charset val="134"/>
    </font>
    <font>
      <sz val="10"/>
      <color theme="1"/>
      <name val="宋体"/>
      <family val="2"/>
      <charset val="134"/>
      <scheme val="minor"/>
    </font>
    <font>
      <sz val="10"/>
      <name val="宋体"/>
      <family val="2"/>
      <charset val="134"/>
      <scheme val="minor"/>
    </font>
  </fonts>
  <fills count="9">
    <fill>
      <patternFill patternType="none"/>
    </fill>
    <fill>
      <patternFill patternType="gray125"/>
    </fill>
    <fill>
      <patternFill patternType="solid">
        <fgColor indexed="27"/>
        <bgColor indexed="64"/>
      </patternFill>
    </fill>
    <fill>
      <patternFill patternType="solid">
        <fgColor indexed="26"/>
        <bgColor indexed="64"/>
      </patternFill>
    </fill>
    <fill>
      <patternFill patternType="solid">
        <fgColor indexed="47"/>
        <bgColor indexed="64"/>
      </patternFill>
    </fill>
    <fill>
      <patternFill patternType="solid">
        <fgColor rgb="FFFFFFCC"/>
        <bgColor indexed="64"/>
      </patternFill>
    </fill>
    <fill>
      <patternFill patternType="solid">
        <fgColor rgb="FFCCFFFF"/>
        <bgColor indexed="64"/>
      </patternFill>
    </fill>
    <fill>
      <patternFill patternType="solid">
        <fgColor theme="9" tint="0.79998168889431442"/>
        <bgColor indexed="64"/>
      </patternFill>
    </fill>
    <fill>
      <patternFill patternType="solid">
        <fgColor rgb="FFFFFF0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style="thin">
        <color indexed="64"/>
      </right>
      <top style="thin">
        <color indexed="8"/>
      </top>
      <bottom/>
      <diagonal/>
    </border>
    <border>
      <left style="thin">
        <color indexed="8"/>
      </left>
      <right style="thin">
        <color indexed="64"/>
      </right>
      <top style="thin">
        <color indexed="64"/>
      </top>
      <bottom/>
      <diagonal/>
    </border>
    <border>
      <left style="thin">
        <color indexed="8"/>
      </left>
      <right style="thin">
        <color indexed="64"/>
      </right>
      <top style="thin">
        <color indexed="8"/>
      </top>
      <bottom style="thin">
        <color indexed="64"/>
      </bottom>
      <diagonal/>
    </border>
    <border>
      <left style="thin">
        <color indexed="8"/>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top style="thin">
        <color indexed="8"/>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64"/>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diagonal/>
    </border>
  </borders>
  <cellStyleXfs count="8">
    <xf numFmtId="0" fontId="0" fillId="0" borderId="0">
      <alignment vertical="center"/>
    </xf>
    <xf numFmtId="0" fontId="2" fillId="0" borderId="0"/>
    <xf numFmtId="0" fontId="2" fillId="0" borderId="0"/>
    <xf numFmtId="0" fontId="3" fillId="0" borderId="0">
      <alignment vertical="center"/>
    </xf>
    <xf numFmtId="0" fontId="10" fillId="0" borderId="0">
      <alignment vertical="center"/>
    </xf>
    <xf numFmtId="0" fontId="19" fillId="0" borderId="0">
      <alignment vertical="center"/>
    </xf>
    <xf numFmtId="0" fontId="20" fillId="0" borderId="0">
      <alignment vertical="center"/>
    </xf>
    <xf numFmtId="0" fontId="23" fillId="0" borderId="0">
      <alignment vertical="center"/>
    </xf>
  </cellStyleXfs>
  <cellXfs count="52">
    <xf numFmtId="0" fontId="0" fillId="0" borderId="0" xfId="0">
      <alignment vertical="center"/>
    </xf>
    <xf numFmtId="0" fontId="16" fillId="2" borderId="2" xfId="0" applyNumberFormat="1" applyFont="1" applyFill="1" applyBorder="1" applyAlignment="1">
      <alignment horizontal="left" vertical="center" wrapText="1"/>
    </xf>
    <xf numFmtId="0" fontId="16" fillId="2" borderId="4" xfId="0" applyNumberFormat="1" applyFont="1" applyFill="1" applyBorder="1" applyAlignment="1" applyProtection="1">
      <alignment horizontal="left" vertical="center" wrapText="1"/>
    </xf>
    <xf numFmtId="176" fontId="16" fillId="4" borderId="5" xfId="0" applyNumberFormat="1" applyFont="1" applyFill="1" applyBorder="1" applyAlignment="1">
      <alignment horizontal="left" vertical="center" wrapText="1"/>
    </xf>
    <xf numFmtId="0" fontId="16" fillId="0" borderId="0" xfId="0" applyFont="1" applyAlignment="1">
      <alignment horizontal="left" vertical="center" wrapText="1"/>
    </xf>
    <xf numFmtId="0" fontId="16" fillId="2" borderId="6" xfId="0" applyNumberFormat="1" applyFont="1" applyFill="1" applyBorder="1" applyAlignment="1" applyProtection="1">
      <alignment horizontal="left" vertical="center" wrapText="1"/>
    </xf>
    <xf numFmtId="0" fontId="16" fillId="2" borderId="7" xfId="0" applyNumberFormat="1" applyFont="1" applyFill="1" applyBorder="1" applyAlignment="1" applyProtection="1">
      <alignment horizontal="left" vertical="center" wrapText="1"/>
    </xf>
    <xf numFmtId="176" fontId="16" fillId="4" borderId="1" xfId="0" applyNumberFormat="1" applyFont="1" applyFill="1" applyBorder="1" applyAlignment="1">
      <alignment horizontal="left" vertical="center" wrapText="1"/>
    </xf>
    <xf numFmtId="10" fontId="16" fillId="4" borderId="8" xfId="0" applyNumberFormat="1" applyFont="1" applyFill="1" applyBorder="1" applyAlignment="1">
      <alignment horizontal="left" vertical="center" wrapText="1"/>
    </xf>
    <xf numFmtId="0" fontId="16" fillId="2" borderId="9" xfId="0" applyNumberFormat="1" applyFont="1" applyFill="1" applyBorder="1" applyAlignment="1">
      <alignment horizontal="left" vertical="center" wrapText="1"/>
    </xf>
    <xf numFmtId="0" fontId="16" fillId="0" borderId="0" xfId="0" applyNumberFormat="1" applyFont="1" applyAlignment="1">
      <alignment horizontal="left" wrapText="1"/>
    </xf>
    <xf numFmtId="0" fontId="8" fillId="0" borderId="0" xfId="0" applyFont="1" applyFill="1" applyAlignment="1">
      <alignment vertical="top" wrapText="1"/>
    </xf>
    <xf numFmtId="0" fontId="7" fillId="0" borderId="0" xfId="2" applyFont="1" applyFill="1" applyAlignment="1">
      <alignment vertical="top" wrapText="1"/>
    </xf>
    <xf numFmtId="0" fontId="7" fillId="0" borderId="0" xfId="0" applyFont="1" applyFill="1" applyAlignment="1">
      <alignment vertical="top" wrapText="1"/>
    </xf>
    <xf numFmtId="0" fontId="17" fillId="5" borderId="10" xfId="0" applyNumberFormat="1" applyFont="1" applyFill="1" applyBorder="1" applyAlignment="1" applyProtection="1">
      <alignment horizontal="left" vertical="top" wrapText="1"/>
      <protection locked="0"/>
    </xf>
    <xf numFmtId="0" fontId="6" fillId="6" borderId="1" xfId="1" applyFont="1" applyFill="1" applyBorder="1" applyAlignment="1">
      <alignment horizontal="center" vertical="top" wrapText="1"/>
    </xf>
    <xf numFmtId="0" fontId="7" fillId="7" borderId="1" xfId="0" applyFont="1" applyFill="1" applyBorder="1" applyAlignment="1">
      <alignment vertical="top" wrapText="1"/>
    </xf>
    <xf numFmtId="0" fontId="4" fillId="7" borderId="1" xfId="0" applyFont="1" applyFill="1" applyBorder="1" applyAlignment="1">
      <alignment vertical="top" wrapText="1"/>
    </xf>
    <xf numFmtId="0" fontId="11" fillId="0" borderId="0" xfId="0" applyNumberFormat="1" applyFont="1" applyAlignment="1">
      <alignment wrapText="1"/>
    </xf>
    <xf numFmtId="0" fontId="17" fillId="5" borderId="11" xfId="0" applyNumberFormat="1" applyFont="1" applyFill="1" applyBorder="1" applyAlignment="1" applyProtection="1">
      <alignment horizontal="left" vertical="top" wrapText="1"/>
      <protection locked="0"/>
    </xf>
    <xf numFmtId="0" fontId="4" fillId="6" borderId="1" xfId="0" applyFont="1" applyFill="1" applyBorder="1" applyAlignment="1">
      <alignment horizontal="center" vertical="top" wrapText="1"/>
    </xf>
    <xf numFmtId="0" fontId="18" fillId="0" borderId="0" xfId="0" applyFont="1" applyFill="1" applyAlignment="1">
      <alignment horizontal="center" vertical="top" wrapText="1"/>
    </xf>
    <xf numFmtId="0" fontId="6" fillId="8" borderId="1" xfId="1" applyFont="1" applyFill="1" applyBorder="1" applyAlignment="1">
      <alignment horizontal="center" vertical="top" wrapText="1"/>
    </xf>
    <xf numFmtId="0" fontId="16" fillId="3" borderId="3" xfId="0" applyNumberFormat="1" applyFont="1" applyFill="1" applyBorder="1" applyAlignment="1" applyProtection="1">
      <alignment horizontal="left" wrapText="1"/>
      <protection locked="0"/>
    </xf>
    <xf numFmtId="0" fontId="16" fillId="3" borderId="12" xfId="0" applyNumberFormat="1" applyFont="1" applyFill="1" applyBorder="1" applyAlignment="1" applyProtection="1">
      <alignment horizontal="left" wrapText="1"/>
      <protection locked="0"/>
    </xf>
    <xf numFmtId="0" fontId="13" fillId="0" borderId="0" xfId="0" applyNumberFormat="1" applyFont="1" applyAlignment="1"/>
    <xf numFmtId="0" fontId="14" fillId="0" borderId="0" xfId="0" applyNumberFormat="1" applyFont="1" applyAlignment="1" applyProtection="1">
      <protection locked="0"/>
    </xf>
    <xf numFmtId="0" fontId="7" fillId="6" borderId="1" xfId="0" applyFont="1" applyFill="1" applyBorder="1" applyAlignment="1">
      <alignment horizontal="left" vertical="top" wrapText="1"/>
    </xf>
    <xf numFmtId="0" fontId="4" fillId="6" borderId="13" xfId="0" applyFont="1" applyFill="1" applyBorder="1" applyAlignment="1">
      <alignment horizontal="center" vertical="top" wrapText="1"/>
    </xf>
    <xf numFmtId="0" fontId="7" fillId="6" borderId="13" xfId="0" applyFont="1" applyFill="1" applyBorder="1" applyAlignment="1">
      <alignment horizontal="left" vertical="top" wrapText="1"/>
    </xf>
    <xf numFmtId="0" fontId="17" fillId="5" borderId="14" xfId="0" applyNumberFormat="1" applyFont="1" applyFill="1" applyBorder="1" applyAlignment="1" applyProtection="1">
      <alignment horizontal="left" vertical="top" wrapText="1"/>
      <protection locked="0"/>
    </xf>
    <xf numFmtId="0" fontId="7" fillId="7" borderId="13" xfId="0" applyFont="1" applyFill="1" applyBorder="1" applyAlignment="1">
      <alignment vertical="top" wrapText="1"/>
    </xf>
    <xf numFmtId="0" fontId="17" fillId="5" borderId="1" xfId="0" applyNumberFormat="1" applyFont="1" applyFill="1" applyBorder="1" applyAlignment="1" applyProtection="1">
      <alignment horizontal="left" vertical="top" wrapText="1"/>
      <protection locked="0"/>
    </xf>
    <xf numFmtId="0" fontId="0" fillId="0" borderId="0" xfId="0" applyAlignment="1">
      <alignment vertical="center" wrapText="1"/>
    </xf>
    <xf numFmtId="0" fontId="7" fillId="7" borderId="1" xfId="0" applyFont="1" applyFill="1" applyBorder="1" applyAlignment="1">
      <alignment vertical="top"/>
    </xf>
    <xf numFmtId="0" fontId="0" fillId="0" borderId="0" xfId="0" applyAlignment="1">
      <alignment vertical="center"/>
    </xf>
    <xf numFmtId="0" fontId="16" fillId="0" borderId="0" xfId="0" applyFont="1" applyAlignment="1">
      <alignment horizontal="left" vertical="center"/>
    </xf>
    <xf numFmtId="0" fontId="6" fillId="8" borderId="1" xfId="1" applyFont="1" applyFill="1" applyBorder="1" applyAlignment="1">
      <alignment horizontal="center" vertical="top"/>
    </xf>
    <xf numFmtId="0" fontId="7" fillId="7" borderId="13" xfId="0" applyFont="1" applyFill="1" applyBorder="1" applyAlignment="1">
      <alignment vertical="top"/>
    </xf>
    <xf numFmtId="0" fontId="8" fillId="0" borderId="0" xfId="0" applyFont="1" applyFill="1" applyAlignment="1">
      <alignment vertical="top"/>
    </xf>
    <xf numFmtId="0" fontId="23" fillId="0" borderId="0" xfId="7">
      <alignment vertical="center"/>
    </xf>
    <xf numFmtId="0" fontId="24" fillId="0" borderId="0" xfId="0" applyFont="1">
      <alignment vertical="center"/>
    </xf>
    <xf numFmtId="0" fontId="25" fillId="6" borderId="1" xfId="0" applyFont="1" applyFill="1" applyBorder="1" applyAlignment="1">
      <alignment vertical="center" wrapText="1"/>
    </xf>
    <xf numFmtId="0" fontId="26" fillId="6" borderId="1" xfId="0" applyFont="1" applyFill="1" applyBorder="1" applyAlignment="1">
      <alignment vertical="center" wrapText="1"/>
    </xf>
    <xf numFmtId="0" fontId="25" fillId="7" borderId="11" xfId="0" applyFont="1" applyFill="1" applyBorder="1" applyAlignment="1">
      <alignment vertical="center" wrapText="1"/>
    </xf>
    <xf numFmtId="0" fontId="4" fillId="6" borderId="1" xfId="0" applyFont="1" applyFill="1" applyBorder="1" applyAlignment="1">
      <alignment vertical="center" wrapText="1"/>
    </xf>
    <xf numFmtId="0" fontId="26" fillId="7" borderId="11" xfId="0" applyFont="1" applyFill="1" applyBorder="1" applyAlignment="1">
      <alignment vertical="center" wrapText="1"/>
    </xf>
    <xf numFmtId="0" fontId="25" fillId="6" borderId="1" xfId="0" applyFont="1" applyFill="1" applyBorder="1" applyAlignment="1">
      <alignment horizontal="left" vertical="center" wrapText="1"/>
    </xf>
    <xf numFmtId="0" fontId="7" fillId="6" borderId="1" xfId="0" applyFont="1" applyFill="1" applyBorder="1" applyAlignment="1">
      <alignment vertical="center" wrapText="1"/>
    </xf>
    <xf numFmtId="0" fontId="4" fillId="7" borderId="11" xfId="0" applyFont="1" applyFill="1" applyBorder="1" applyAlignment="1">
      <alignment vertical="top" wrapText="1"/>
    </xf>
    <xf numFmtId="0" fontId="4" fillId="7" borderId="11" xfId="0" applyFont="1" applyFill="1" applyBorder="1" applyAlignment="1">
      <alignment horizontal="left" vertical="center" wrapText="1"/>
    </xf>
    <xf numFmtId="0" fontId="15" fillId="0" borderId="0" xfId="0" applyFont="1" applyBorder="1" applyAlignment="1">
      <alignment horizontal="center" vertical="center"/>
    </xf>
  </cellXfs>
  <cellStyles count="8">
    <cellStyle name="Normal_Checklist - format&amp;layout _Rajeev" xfId="1"/>
    <cellStyle name="Normal_Checklist - optimization_Rajeev" xfId="2"/>
    <cellStyle name="常规" xfId="0" builtinId="0"/>
    <cellStyle name="常规 2" xfId="3"/>
    <cellStyle name="常规 3" xfId="4"/>
    <cellStyle name="常规 4" xfId="5"/>
    <cellStyle name="常规 5" xfId="6"/>
    <cellStyle name="常规 6" xfId="7"/>
  </cellStyles>
  <dxfs count="0"/>
  <tableStyles count="0" defaultTableStyle="TableStyleMedium9" defaultPivotStyle="PivotStyleLight16"/>
  <colors>
    <mruColors>
      <color rgb="FFFFCCCC"/>
      <color rgb="FFFFCC99"/>
      <color rgb="FFFFCCFF"/>
      <color rgb="FFFFFFCC"/>
      <color rgb="FFFFFFFF"/>
      <color rgb="FFCCFFFF"/>
    </mru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28575</xdr:colOff>
      <xdr:row>0</xdr:row>
      <xdr:rowOff>53340</xdr:rowOff>
    </xdr:from>
    <xdr:to>
      <xdr:col>0</xdr:col>
      <xdr:colOff>662940</xdr:colOff>
      <xdr:row>2</xdr:row>
      <xdr:rowOff>148590</xdr:rowOff>
    </xdr:to>
    <xdr:pic>
      <xdr:nvPicPr>
        <xdr:cNvPr id="4" name="Picture 25" descr="HW_POS_RGB_Vertical"/>
        <xdr:cNvPicPr>
          <a:picLocks noChangeAspect="1" noChangeArrowheads="1"/>
        </xdr:cNvPicPr>
      </xdr:nvPicPr>
      <xdr:blipFill>
        <a:blip xmlns:r="http://schemas.openxmlformats.org/officeDocument/2006/relationships" r:embed="rId1" cstate="print"/>
        <a:srcRect/>
        <a:stretch>
          <a:fillRect/>
        </a:stretch>
      </xdr:blipFill>
      <xdr:spPr bwMode="auto">
        <a:xfrm>
          <a:off x="28575" y="53340"/>
          <a:ext cx="634365" cy="53721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581025</xdr:colOff>
      <xdr:row>6</xdr:row>
      <xdr:rowOff>47625</xdr:rowOff>
    </xdr:from>
    <xdr:to>
      <xdr:col>11</xdr:col>
      <xdr:colOff>114300</xdr:colOff>
      <xdr:row>33</xdr:row>
      <xdr:rowOff>9525</xdr:rowOff>
    </xdr:to>
    <xdr:pic>
      <xdr:nvPicPr>
        <xdr:cNvPr id="4097" name="Picture 1" descr="C:\Users\c00308701\AppData\Roaming\eSpace_Desktop\UserData\c00308701\imagefiles\358C5CB2-4F43-4867-A326-47A4ABFD7D19.png"/>
        <xdr:cNvPicPr>
          <a:picLocks noChangeAspect="1" noChangeArrowheads="1"/>
        </xdr:cNvPicPr>
      </xdr:nvPicPr>
      <xdr:blipFill>
        <a:blip xmlns:r="http://schemas.openxmlformats.org/officeDocument/2006/relationships" r:embed="rId1" cstate="print"/>
        <a:srcRect/>
        <a:stretch>
          <a:fillRect/>
        </a:stretch>
      </xdr:blipFill>
      <xdr:spPr bwMode="auto">
        <a:xfrm>
          <a:off x="581025" y="1133475"/>
          <a:ext cx="7077075" cy="4876800"/>
        </a:xfrm>
        <a:prstGeom prst="rect">
          <a:avLst/>
        </a:prstGeom>
        <a:noFill/>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G52"/>
  <sheetViews>
    <sheetView zoomScale="115" zoomScaleNormal="115" workbookViewId="0">
      <selection activeCell="D13" sqref="D13"/>
    </sheetView>
  </sheetViews>
  <sheetFormatPr defaultColWidth="9" defaultRowHeight="13.5"/>
  <cols>
    <col min="1" max="1" width="10.75" style="21" customWidth="1"/>
    <col min="2" max="2" width="31.5" style="11" customWidth="1"/>
    <col min="3" max="3" width="11.625" style="11" customWidth="1"/>
    <col min="4" max="4" width="50.875" style="11" customWidth="1"/>
    <col min="5" max="5" width="39.375" style="39" customWidth="1"/>
    <col min="6" max="6" width="34" style="39" customWidth="1"/>
    <col min="7" max="7" width="14.875" style="11" bestFit="1" customWidth="1"/>
    <col min="8" max="16384" width="9" style="11"/>
  </cols>
  <sheetData>
    <row r="1" spans="1:7" customFormat="1" ht="21">
      <c r="A1" s="18"/>
      <c r="B1" s="18" t="s">
        <v>18</v>
      </c>
      <c r="C1" s="18"/>
      <c r="D1" s="18"/>
      <c r="E1" s="35"/>
      <c r="F1" s="35"/>
      <c r="G1" s="33"/>
    </row>
    <row r="2" spans="1:7" customFormat="1" ht="15">
      <c r="A2" s="25"/>
      <c r="B2" s="25" t="s">
        <v>15</v>
      </c>
      <c r="C2" s="25"/>
      <c r="D2" s="25"/>
      <c r="E2" s="35"/>
      <c r="F2" s="35"/>
      <c r="G2" s="33"/>
    </row>
    <row r="3" spans="1:7" customFormat="1" ht="15">
      <c r="A3" s="26"/>
      <c r="B3" s="26" t="s">
        <v>5</v>
      </c>
      <c r="C3" s="26"/>
      <c r="D3" s="26"/>
      <c r="E3" s="35"/>
      <c r="F3" s="35"/>
      <c r="G3" s="33"/>
    </row>
    <row r="4" spans="1:7" customFormat="1" ht="15.75">
      <c r="A4" s="51"/>
      <c r="B4" s="51"/>
      <c r="C4" s="51"/>
      <c r="E4" s="35"/>
      <c r="F4" s="35"/>
      <c r="G4" s="33"/>
    </row>
    <row r="5" spans="1:7" s="4" customFormat="1">
      <c r="A5" s="1" t="s">
        <v>6</v>
      </c>
      <c r="B5" s="23" t="str">
        <f>IF(SUM(B6:B8)=0,"",SUM(B6:B8))</f>
        <v/>
      </c>
      <c r="C5" s="2" t="s">
        <v>7</v>
      </c>
      <c r="D5" s="3">
        <f>SUM(D6:D8)</f>
        <v>0</v>
      </c>
      <c r="E5" s="36"/>
      <c r="F5" s="36"/>
    </row>
    <row r="6" spans="1:7" s="4" customFormat="1">
      <c r="A6" s="1" t="s">
        <v>17</v>
      </c>
      <c r="B6" s="23" t="str">
        <f>IF(COUNTIF(B$13:B$22,"Yes是")=0,"",COUNTIF(B$13:B$22,"Yes是"))</f>
        <v/>
      </c>
      <c r="C6" s="5" t="s">
        <v>8</v>
      </c>
      <c r="D6" s="3">
        <f>COUNTIF(C$12:C$22,"Yes是")</f>
        <v>0</v>
      </c>
      <c r="E6" s="36"/>
      <c r="F6" s="36"/>
    </row>
    <row r="7" spans="1:7" s="4" customFormat="1">
      <c r="A7" s="1" t="s">
        <v>16</v>
      </c>
      <c r="B7" s="23" t="str">
        <f>IF(COUNTIF(B$13:B$22,"No否")=0,"",COUNTIF(B$13:B$22,"No否"))</f>
        <v/>
      </c>
      <c r="C7" s="6" t="s">
        <v>9</v>
      </c>
      <c r="D7" s="3">
        <f>COUNTIF(C$12:C$22,"No否")</f>
        <v>0</v>
      </c>
      <c r="E7" s="36"/>
      <c r="F7" s="36"/>
    </row>
    <row r="8" spans="1:7" s="4" customFormat="1">
      <c r="A8" s="1" t="s">
        <v>10</v>
      </c>
      <c r="B8" s="23" t="str">
        <f>IF(COUNTIF(B$13:B$22,"NA免")=0,"",COUNTIF(B$13:B$22,"NA免"))</f>
        <v/>
      </c>
      <c r="C8" s="6" t="s">
        <v>11</v>
      </c>
      <c r="D8" s="7">
        <f>COUNTIF(C$12:C$22,"NA免")</f>
        <v>0</v>
      </c>
      <c r="E8" s="36"/>
      <c r="F8" s="36"/>
    </row>
    <row r="9" spans="1:7" s="4" customFormat="1">
      <c r="A9" s="1" t="s">
        <v>12</v>
      </c>
      <c r="B9" s="23" t="str">
        <f>IF(OR(B6="",B7=""),"",IF((B6+B7)=0,"",B6/(B6+B7)))</f>
        <v/>
      </c>
      <c r="C9" s="6" t="s">
        <v>13</v>
      </c>
      <c r="D9" s="8" t="str">
        <f>IF((D6+D7)&lt;&gt;0,D6/(D6+D7),"")</f>
        <v/>
      </c>
      <c r="E9" s="36"/>
      <c r="F9" s="36"/>
    </row>
    <row r="10" spans="1:7" s="4" customFormat="1">
      <c r="A10" s="9" t="s">
        <v>14</v>
      </c>
      <c r="B10" s="24"/>
      <c r="C10" s="10"/>
      <c r="E10" s="36"/>
      <c r="F10" s="36"/>
    </row>
    <row r="11" spans="1:7" s="12" customFormat="1" ht="12">
      <c r="A11" s="15" t="s">
        <v>3</v>
      </c>
      <c r="B11" s="22" t="s">
        <v>4</v>
      </c>
      <c r="C11" s="15" t="s">
        <v>19</v>
      </c>
      <c r="D11" s="22" t="s">
        <v>0</v>
      </c>
      <c r="E11" s="37" t="s">
        <v>20</v>
      </c>
      <c r="F11" s="37" t="s">
        <v>1</v>
      </c>
      <c r="G11" s="15" t="s">
        <v>2</v>
      </c>
    </row>
    <row r="12" spans="1:7" ht="93" customHeight="1">
      <c r="A12" s="20">
        <v>1</v>
      </c>
      <c r="B12" s="27" t="s">
        <v>25</v>
      </c>
      <c r="C12" s="19"/>
      <c r="D12" s="16" t="s">
        <v>31</v>
      </c>
      <c r="E12" s="16" t="s">
        <v>125</v>
      </c>
      <c r="F12" s="34"/>
      <c r="G12" s="17"/>
    </row>
    <row r="13" spans="1:7" ht="90" customHeight="1">
      <c r="A13" s="20">
        <v>2</v>
      </c>
      <c r="B13" s="27" t="s">
        <v>26</v>
      </c>
      <c r="C13" s="19"/>
      <c r="D13" s="16" t="s">
        <v>27</v>
      </c>
      <c r="E13" s="16" t="s">
        <v>28</v>
      </c>
      <c r="F13" s="34"/>
      <c r="G13" s="17"/>
    </row>
    <row r="14" spans="1:7" ht="41.25" customHeight="1">
      <c r="A14" s="20">
        <v>3</v>
      </c>
      <c r="B14" s="27" t="s">
        <v>29</v>
      </c>
      <c r="C14" s="19"/>
      <c r="D14" s="16" t="s">
        <v>32</v>
      </c>
      <c r="E14" s="34" t="s">
        <v>21</v>
      </c>
      <c r="F14" s="34"/>
      <c r="G14" s="17"/>
    </row>
    <row r="15" spans="1:7" ht="140.25" customHeight="1">
      <c r="A15" s="20">
        <v>4</v>
      </c>
      <c r="B15" s="27" t="s">
        <v>119</v>
      </c>
      <c r="C15" s="19"/>
      <c r="D15" s="16" t="s">
        <v>22</v>
      </c>
      <c r="E15" s="16" t="s">
        <v>23</v>
      </c>
      <c r="F15" s="34"/>
      <c r="G15" s="17"/>
    </row>
    <row r="16" spans="1:7" ht="102.75" customHeight="1">
      <c r="A16" s="20">
        <v>5</v>
      </c>
      <c r="B16" s="27" t="s">
        <v>120</v>
      </c>
      <c r="C16" s="19"/>
      <c r="D16" s="16" t="s">
        <v>30</v>
      </c>
      <c r="E16" s="16" t="s">
        <v>24</v>
      </c>
      <c r="F16" s="34"/>
      <c r="G16" s="17"/>
    </row>
    <row r="17" spans="1:7" ht="36">
      <c r="A17" s="20">
        <v>6</v>
      </c>
      <c r="B17" s="27" t="s">
        <v>33</v>
      </c>
      <c r="C17" s="14"/>
      <c r="D17" s="16" t="s">
        <v>107</v>
      </c>
      <c r="E17" s="34"/>
      <c r="F17" s="34"/>
      <c r="G17" s="17"/>
    </row>
    <row r="18" spans="1:7" ht="156">
      <c r="A18" s="20">
        <v>7</v>
      </c>
      <c r="B18" s="27" t="s">
        <v>34</v>
      </c>
      <c r="C18" s="14"/>
      <c r="D18" s="16" t="s">
        <v>108</v>
      </c>
      <c r="E18" s="34"/>
      <c r="F18" s="34"/>
      <c r="G18" s="17"/>
    </row>
    <row r="19" spans="1:7" s="13" customFormat="1" ht="156">
      <c r="A19" s="28"/>
      <c r="B19" s="29" t="s">
        <v>35</v>
      </c>
      <c r="C19" s="30"/>
      <c r="D19" s="31" t="s">
        <v>36</v>
      </c>
      <c r="E19" s="38"/>
      <c r="F19" s="38"/>
      <c r="G19" s="31"/>
    </row>
    <row r="20" spans="1:7" s="13" customFormat="1" ht="96">
      <c r="A20" s="20"/>
      <c r="B20" s="27" t="s">
        <v>37</v>
      </c>
      <c r="C20" s="32"/>
      <c r="D20" s="16" t="s">
        <v>109</v>
      </c>
      <c r="E20" s="34"/>
      <c r="F20" s="34"/>
      <c r="G20" s="16"/>
    </row>
    <row r="21" spans="1:7" s="13" customFormat="1" ht="60">
      <c r="A21" s="20"/>
      <c r="B21" s="27" t="s">
        <v>38</v>
      </c>
      <c r="C21" s="32"/>
      <c r="D21" s="16" t="s">
        <v>110</v>
      </c>
      <c r="E21" s="34"/>
      <c r="F21" s="34"/>
      <c r="G21" s="16"/>
    </row>
    <row r="22" spans="1:7" s="13" customFormat="1" ht="60">
      <c r="A22" s="20"/>
      <c r="B22" s="27" t="s">
        <v>39</v>
      </c>
      <c r="C22" s="32"/>
      <c r="D22" s="16" t="s">
        <v>40</v>
      </c>
      <c r="E22" s="34"/>
      <c r="F22" s="34"/>
      <c r="G22" s="16"/>
    </row>
    <row r="23" spans="1:7" s="13" customFormat="1" ht="48">
      <c r="A23" s="20"/>
      <c r="B23" s="27" t="s">
        <v>41</v>
      </c>
      <c r="C23" s="32"/>
      <c r="D23" s="16" t="s">
        <v>121</v>
      </c>
      <c r="E23" s="34"/>
      <c r="F23" s="34"/>
      <c r="G23" s="16"/>
    </row>
    <row r="24" spans="1:7" ht="96">
      <c r="A24" s="20"/>
      <c r="B24" s="27" t="s">
        <v>42</v>
      </c>
      <c r="C24" s="32"/>
      <c r="D24" s="16" t="s">
        <v>43</v>
      </c>
      <c r="E24" s="34"/>
      <c r="F24" s="34"/>
      <c r="G24" s="16"/>
    </row>
    <row r="25" spans="1:7" ht="48">
      <c r="A25" s="20"/>
      <c r="B25" s="27" t="s">
        <v>122</v>
      </c>
      <c r="C25" s="32"/>
      <c r="D25" s="16" t="s">
        <v>44</v>
      </c>
      <c r="E25" s="34"/>
      <c r="F25" s="34"/>
      <c r="G25" s="16"/>
    </row>
    <row r="26" spans="1:7" ht="24">
      <c r="A26" s="20"/>
      <c r="B26" s="27" t="s">
        <v>45</v>
      </c>
      <c r="C26" s="32"/>
      <c r="D26" s="16" t="s">
        <v>123</v>
      </c>
      <c r="E26" s="34"/>
      <c r="F26" s="34"/>
      <c r="G26" s="16"/>
    </row>
    <row r="27" spans="1:7" ht="48">
      <c r="A27" s="20"/>
      <c r="B27" s="27" t="s">
        <v>46</v>
      </c>
      <c r="C27" s="32"/>
      <c r="D27" s="16" t="s">
        <v>124</v>
      </c>
      <c r="E27" s="34"/>
      <c r="F27" s="34"/>
      <c r="G27" s="16"/>
    </row>
    <row r="28" spans="1:7" ht="24">
      <c r="A28" s="20"/>
      <c r="B28" s="27" t="s">
        <v>47</v>
      </c>
      <c r="C28" s="32"/>
      <c r="D28" s="16" t="s">
        <v>112</v>
      </c>
      <c r="E28" s="34"/>
      <c r="F28" s="34"/>
      <c r="G28" s="16"/>
    </row>
    <row r="29" spans="1:7" ht="24">
      <c r="A29" s="20"/>
      <c r="B29" s="27" t="s">
        <v>48</v>
      </c>
      <c r="C29" s="32"/>
      <c r="D29" s="16" t="s">
        <v>111</v>
      </c>
      <c r="E29" s="34"/>
      <c r="F29" s="34"/>
      <c r="G29" s="16"/>
    </row>
    <row r="30" spans="1:7" ht="60">
      <c r="A30" s="20"/>
      <c r="B30" s="27" t="s">
        <v>49</v>
      </c>
      <c r="C30" s="32"/>
      <c r="D30" s="16" t="s">
        <v>50</v>
      </c>
      <c r="E30" s="34"/>
      <c r="F30" s="34"/>
      <c r="G30" s="16"/>
    </row>
    <row r="31" spans="1:7" ht="72">
      <c r="A31" s="20"/>
      <c r="B31" s="27" t="s">
        <v>51</v>
      </c>
      <c r="C31" s="32"/>
      <c r="D31" s="16" t="s">
        <v>113</v>
      </c>
      <c r="E31" s="34"/>
      <c r="F31" s="34"/>
      <c r="G31" s="16"/>
    </row>
    <row r="32" spans="1:7">
      <c r="A32" s="20"/>
      <c r="B32" s="27" t="s">
        <v>52</v>
      </c>
      <c r="C32" s="32"/>
      <c r="D32" s="16" t="s">
        <v>53</v>
      </c>
      <c r="E32" s="34"/>
      <c r="F32" s="34"/>
      <c r="G32" s="16"/>
    </row>
    <row r="33" spans="1:7" ht="96">
      <c r="A33" s="20"/>
      <c r="B33" s="27" t="s">
        <v>54</v>
      </c>
      <c r="C33" s="32"/>
      <c r="D33" s="16" t="s">
        <v>114</v>
      </c>
      <c r="E33" s="34"/>
      <c r="F33" s="34"/>
      <c r="G33" s="16"/>
    </row>
    <row r="34" spans="1:7">
      <c r="A34" s="20"/>
      <c r="B34" s="27" t="s">
        <v>55</v>
      </c>
      <c r="C34" s="32"/>
      <c r="D34" s="16" t="s">
        <v>115</v>
      </c>
      <c r="E34" s="34"/>
      <c r="F34" s="34"/>
      <c r="G34" s="16"/>
    </row>
    <row r="35" spans="1:7">
      <c r="A35" s="20"/>
      <c r="B35" s="27" t="s">
        <v>56</v>
      </c>
      <c r="C35" s="32"/>
      <c r="D35" s="16" t="s">
        <v>57</v>
      </c>
      <c r="E35" s="34"/>
      <c r="F35" s="34"/>
      <c r="G35" s="16"/>
    </row>
    <row r="36" spans="1:7">
      <c r="A36" s="20"/>
      <c r="B36" s="27" t="s">
        <v>58</v>
      </c>
      <c r="C36" s="32"/>
      <c r="D36" s="16" t="s">
        <v>59</v>
      </c>
      <c r="E36" s="34"/>
      <c r="F36" s="34"/>
      <c r="G36" s="16"/>
    </row>
    <row r="37" spans="1:7">
      <c r="A37" s="20"/>
      <c r="B37" s="27" t="s">
        <v>60</v>
      </c>
      <c r="C37" s="32"/>
      <c r="D37" s="16" t="s">
        <v>116</v>
      </c>
      <c r="E37" s="34"/>
      <c r="F37" s="34"/>
      <c r="G37" s="16"/>
    </row>
    <row r="38" spans="1:7" ht="288">
      <c r="A38" s="20"/>
      <c r="B38" s="45" t="s">
        <v>61</v>
      </c>
      <c r="C38" s="19"/>
      <c r="D38" s="44" t="s">
        <v>101</v>
      </c>
      <c r="E38" s="49" t="s">
        <v>81</v>
      </c>
      <c r="F38" s="49" t="s">
        <v>82</v>
      </c>
      <c r="G38" s="16"/>
    </row>
    <row r="39" spans="1:7" ht="276">
      <c r="A39" s="20"/>
      <c r="B39" s="45" t="s">
        <v>62</v>
      </c>
      <c r="C39" s="19"/>
      <c r="D39" s="44"/>
      <c r="E39" s="49" t="s">
        <v>117</v>
      </c>
      <c r="F39" s="49" t="s">
        <v>83</v>
      </c>
    </row>
    <row r="40" spans="1:7" ht="174.75" customHeight="1">
      <c r="A40" s="20"/>
      <c r="B40" s="42" t="s">
        <v>63</v>
      </c>
      <c r="C40" s="19"/>
      <c r="D40" s="44" t="s">
        <v>102</v>
      </c>
      <c r="E40" s="50" t="s">
        <v>84</v>
      </c>
      <c r="F40" s="49" t="s">
        <v>85</v>
      </c>
    </row>
    <row r="41" spans="1:7" ht="300">
      <c r="A41" s="20"/>
      <c r="B41" s="42" t="s">
        <v>64</v>
      </c>
      <c r="C41" s="19"/>
      <c r="D41" s="44" t="s">
        <v>103</v>
      </c>
      <c r="E41" s="50" t="s">
        <v>86</v>
      </c>
      <c r="F41" s="49" t="s">
        <v>87</v>
      </c>
    </row>
    <row r="42" spans="1:7" ht="264">
      <c r="A42" s="20"/>
      <c r="B42" s="47" t="s">
        <v>65</v>
      </c>
      <c r="C42" s="19"/>
      <c r="D42" s="44" t="s">
        <v>66</v>
      </c>
      <c r="E42" s="49" t="s">
        <v>88</v>
      </c>
      <c r="F42" s="49" t="s">
        <v>89</v>
      </c>
    </row>
    <row r="43" spans="1:7" ht="409.5">
      <c r="A43" s="20"/>
      <c r="B43" s="42" t="s">
        <v>67</v>
      </c>
      <c r="C43" s="19"/>
      <c r="D43" s="44"/>
      <c r="E43" s="49" t="s">
        <v>90</v>
      </c>
      <c r="F43" s="49" t="s">
        <v>91</v>
      </c>
    </row>
    <row r="44" spans="1:7" ht="24">
      <c r="B44" s="48" t="s">
        <v>68</v>
      </c>
      <c r="C44" s="19"/>
      <c r="D44" s="46" t="s">
        <v>118</v>
      </c>
      <c r="E44" s="49"/>
      <c r="F44" s="49"/>
    </row>
    <row r="45" spans="1:7" ht="92.25" customHeight="1">
      <c r="B45" s="42" t="s">
        <v>69</v>
      </c>
      <c r="C45" s="19"/>
      <c r="D45" s="44" t="s">
        <v>70</v>
      </c>
      <c r="E45" s="49" t="s">
        <v>92</v>
      </c>
      <c r="F45" s="49" t="s">
        <v>93</v>
      </c>
    </row>
    <row r="46" spans="1:7" ht="120">
      <c r="B46" s="42" t="s">
        <v>71</v>
      </c>
      <c r="C46" s="19"/>
      <c r="D46" s="44"/>
      <c r="E46" s="49" t="s">
        <v>94</v>
      </c>
      <c r="F46" s="49" t="s">
        <v>95</v>
      </c>
    </row>
    <row r="47" spans="1:7" ht="288">
      <c r="B47" s="42" t="s">
        <v>72</v>
      </c>
      <c r="C47" s="19"/>
      <c r="D47" s="44" t="s">
        <v>73</v>
      </c>
      <c r="E47" s="49" t="s">
        <v>96</v>
      </c>
      <c r="F47" s="49" t="s">
        <v>97</v>
      </c>
    </row>
    <row r="48" spans="1:7" ht="24">
      <c r="B48" s="43" t="s">
        <v>74</v>
      </c>
      <c r="C48" s="19"/>
      <c r="D48" s="44"/>
      <c r="E48" s="49"/>
      <c r="F48" s="49"/>
    </row>
    <row r="49" spans="2:6" ht="24">
      <c r="B49" s="42" t="s">
        <v>75</v>
      </c>
      <c r="C49" s="19"/>
      <c r="D49" s="44"/>
      <c r="E49" s="49"/>
      <c r="F49" s="49"/>
    </row>
    <row r="50" spans="2:6" ht="409.5">
      <c r="B50" s="42" t="s">
        <v>76</v>
      </c>
      <c r="C50" s="19"/>
      <c r="D50" s="44" t="s">
        <v>77</v>
      </c>
      <c r="E50" s="49" t="s">
        <v>104</v>
      </c>
      <c r="F50" s="49" t="s">
        <v>105</v>
      </c>
    </row>
    <row r="51" spans="2:6" ht="409.5">
      <c r="B51" s="42" t="s">
        <v>78</v>
      </c>
      <c r="C51" s="19"/>
      <c r="D51" s="44" t="s">
        <v>79</v>
      </c>
      <c r="E51" s="49" t="s">
        <v>106</v>
      </c>
      <c r="F51" s="49" t="s">
        <v>98</v>
      </c>
    </row>
    <row r="52" spans="2:6" ht="192">
      <c r="B52" s="45" t="s">
        <v>80</v>
      </c>
      <c r="C52" s="19"/>
      <c r="D52" s="44"/>
      <c r="E52" s="49" t="s">
        <v>99</v>
      </c>
      <c r="F52" s="49" t="s">
        <v>100</v>
      </c>
    </row>
  </sheetData>
  <protectedRanges>
    <protectedRange sqref="G11" name="Range1"/>
  </protectedRanges>
  <autoFilter ref="A11:G11"/>
  <mergeCells count="1">
    <mergeCell ref="A4:C4"/>
  </mergeCells>
  <phoneticPr fontId="1" type="noConversion"/>
  <dataValidations count="1">
    <dataValidation type="list" allowBlank="1" showInputMessage="1" showErrorMessage="1" sqref="C12:C52">
      <formula1>"Yes是,No否,NA免"</formula1>
    </dataValidation>
  </dataValidations>
  <pageMargins left="0.74803149606299213" right="0.74803149606299213" top="0.98425196850393704" bottom="0.98425196850393704" header="0.51181102362204722" footer="0.51181102362204722"/>
  <pageSetup paperSize="9" orientation="portrait" r:id="rId1"/>
  <headerFooter alignWithMargins="0">
    <oddHeader>&amp;L&amp;G&amp;C&amp;F&amp;R文档密级</oddHeader>
    <oddFooter>&amp;L&amp;D&amp;C华为保密信息,未经授权禁止扩散&amp;R第&amp;P页，共&amp;N页</oddFooter>
  </headerFooter>
  <drawing r:id="rId2"/>
  <legacyDrawingHF r:id="rId3"/>
</worksheet>
</file>

<file path=xl/worksheets/sheet2.xml><?xml version="1.0" encoding="utf-8"?>
<worksheet xmlns="http://schemas.openxmlformats.org/spreadsheetml/2006/main" xmlns:r="http://schemas.openxmlformats.org/officeDocument/2006/relationships">
  <dimension ref="H12"/>
  <sheetViews>
    <sheetView tabSelected="1" workbookViewId="0">
      <selection activeCell="P30" sqref="P30"/>
    </sheetView>
  </sheetViews>
  <sheetFormatPr defaultRowHeight="14.25"/>
  <cols>
    <col min="1" max="16384" width="9" style="40"/>
  </cols>
  <sheetData>
    <row r="12" spans="8:8" ht="16.5">
      <c r="H12" s="41"/>
    </row>
  </sheetData>
  <phoneticPr fontId="1" type="noConversion"/>
  <pageMargins left="0.74803149606299213" right="0.74803149606299213" top="0.98425196850393704" bottom="0.98425196850393704" header="0.51181102362204722" footer="0.51181102362204722"/>
  <pageSetup paperSize="9" orientation="portrait" r:id="rId1"/>
  <headerFooter alignWithMargins="0">
    <oddHeader>&amp;L&amp;G&amp;C&amp;F&amp;R文档密级</oddHeader>
    <oddFooter>&amp;L&amp;D&amp;C华为保密信息,未经授权禁止扩散&amp;R第&amp;P页，共&amp;N页</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java&amp;web代码安全检视CheckList</vt:lpstr>
      <vt:lpstr>Sheet2</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2006-09-13T11:21:51Z</dcterms:created>
  <dcterms:modified xsi:type="dcterms:W3CDTF">2016-10-11T07:55:33Z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readonly">
    <vt:lpwstr/>
  </property>
  <property fmtid="{D5CDD505-2E9C-101B-9397-08002B2CF9AE}" pid="3" name="_change">
    <vt:lpwstr/>
  </property>
  <property fmtid="{D5CDD505-2E9C-101B-9397-08002B2CF9AE}" pid="4" name="_full-control">
    <vt:lpwstr/>
  </property>
  <property fmtid="{D5CDD505-2E9C-101B-9397-08002B2CF9AE}" pid="5" name="sflag">
    <vt:lpwstr>1456796914</vt:lpwstr>
  </property>
  <property fmtid="{D5CDD505-2E9C-101B-9397-08002B2CF9AE}" pid="6" name="_2015_ms_pID_725343">
    <vt:lpwstr>(2)ihx4pUgUP862tIJhY9NPO63QKKNga3Pfe+shenqLeBSNxO/qECHZB3uwt/s424fqoGV3Ql8F
/JdMnJCoFR9MbR5mxFlCKhwmbfKPLDs4piGJ+CVnUyDhgzgYyTwPBSh5bf6LLLa8DjSA/Hvh
yXWs3YSxmD8vUK58M2v/dZtrnqGuhRzweJ1V7zbnrV5Iy9a8eFsua0agK7LMiHd3J48nJtNb
fT4FcUR+JPXd0FcEJS</vt:lpwstr>
  </property>
  <property fmtid="{D5CDD505-2E9C-101B-9397-08002B2CF9AE}" pid="7" name="_2015_ms_pID_7253431">
    <vt:lpwstr>fNjJxwu1x++5prMUZuX9ibA9vDCrmUiSnWlZWIUetA60yYdRhWFi8a
T/prQwwkm44w1GNJdZF8GxpD+HvzZf5odLB+qUyBUYugUhHoPECohKs360umHOB0VQWjZUMd
jkUVwQDLkx5QzAIX+YJQr81ZZghxJE33tGv2ocWhiCrbHx6dP94fGVpoT4vhnp+ncN1P8kBf
lh7QrhQ6/600i8CM</vt:lpwstr>
  </property>
</Properties>
</file>