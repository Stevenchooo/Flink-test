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svn\TC_EMUI_DataService_SVN_02项目目录\09.eData项目\06.项目管理\6.4.需求汇总\"/>
    </mc:Choice>
  </mc:AlternateContent>
  <bookViews>
    <workbookView xWindow="0" yWindow="-210" windowWidth="11505" windowHeight="4665" tabRatio="626" firstSheet="1" activeTab="1"/>
  </bookViews>
  <sheets>
    <sheet name="Sheet2" sheetId="160" state="hidden" r:id="rId1"/>
    <sheet name="全部RM" sheetId="165" r:id="rId2"/>
    <sheet name="Sheet1" sheetId="191" state="hidden" r:id="rId3"/>
    <sheet name="Sheet3" sheetId="192" state="hidden" r:id="rId4"/>
    <sheet name="RM统计" sheetId="170" r:id="rId5"/>
    <sheet name="产业月度趋势图" sheetId="174" r:id="rId6"/>
    <sheet name="吞吐量" sheetId="156" r:id="rId7"/>
    <sheet name="常量值" sheetId="190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1" hidden="1">全部RM!$A$1:$AB$68</definedName>
    <definedName name="_IRB1" hidden="1">{"'Sheet1'!$A$1:$Z$85","'Sheet1'!$AB$3"}</definedName>
    <definedName name="a">[1]常量值!$A$2:$A$46</definedName>
    <definedName name="ConclusionSelect">[2]基本信息选择项!$B$2:$B$4</definedName>
    <definedName name="dfafd">[3]常量值!$A$2:$A$30</definedName>
    <definedName name="dfd">[4]常量值!$A$2:$A$46</definedName>
    <definedName name="dfsd">[5]常量值!$D$2:$D$40</definedName>
    <definedName name="HTML_CodePage" hidden="1">950</definedName>
    <definedName name="HTML_Control" hidden="1">{"'Sheet1'!$A$1:$Z$85","'Sheet1'!$AB$3"}</definedName>
    <definedName name="HTML_Description" hidden="1">""</definedName>
    <definedName name="HTML_Email" hidden="1">""</definedName>
    <definedName name="HTML_Header" hidden="1">"Sheet1"</definedName>
    <definedName name="HTML_LastUpdate" hidden="1">"1999/12/11"</definedName>
    <definedName name="HTML_LineAfter" hidden="1">FALSE</definedName>
    <definedName name="HTML_LineBefore" hidden="1">FALSE</definedName>
    <definedName name="HTML_Name" hidden="1">"Lily"</definedName>
    <definedName name="HTML_OBDlg2" hidden="1">TRUE</definedName>
    <definedName name="HTML_OBDlg4" hidden="1">TRUE</definedName>
    <definedName name="HTML_OS" hidden="1">0</definedName>
    <definedName name="HTML_PathFile" hidden="1">"D:\Home Page\mcmug.htm"</definedName>
    <definedName name="HTML_Title" hidden="1">"Mcmug"</definedName>
    <definedName name="iouiu">[6]常量值!$A$2:$A$30</definedName>
    <definedName name="IRB" hidden="1">{"'Sheet1'!$A$1:$Z$85","'Sheet1'!$AB$3"}</definedName>
    <definedName name="mdsp">[7]常量值!$D$2:$D$45</definedName>
    <definedName name="MTN">[8]常量值!$D$2:$D$43</definedName>
    <definedName name="_xlnm.Print_Area" localSheetId="1">全部RM!$A$1:$V$1</definedName>
    <definedName name="s">[9]常量值!$A$2:$A$30</definedName>
    <definedName name="sss">[9]常量值!$C$2:$C$35</definedName>
    <definedName name="W1048377U4890">全部RM!#REF!</definedName>
    <definedName name="zhuxiaoqi">[5]常量值!$C$2:$C$35</definedName>
    <definedName name="啊">[10]常量值!$C$2:$C$24</definedName>
    <definedName name="埃塞">[11]常量值!$D$2:$D$45</definedName>
    <definedName name="部件">常量值!$B$2:$B$18</definedName>
    <definedName name="部件2">[5]常量值!$A$2:$A$30</definedName>
    <definedName name="行首标识">#REF!</definedName>
    <definedName name="行尾标识">#REF!</definedName>
    <definedName name="列尾标识">#REF!</definedName>
    <definedName name="满意度行首">#REF!</definedName>
    <definedName name="满意度行尾">#REF!</definedName>
    <definedName name="模块SE">常量值!#REF!</definedName>
    <definedName name="目标承诺" hidden="1">{"'Sheet1'!$A$1:$Z$85","'Sheet1'!$AB$3"}</definedName>
    <definedName name="无评价需求">#REF!</definedName>
    <definedName name="项目">常量值!$A$2:$A$37</definedName>
    <definedName name="项目1">[12]常量值!$C$2:$C$43</definedName>
    <definedName name="需求处理人">常量值!$C$2:$C$24</definedName>
  </definedNames>
  <calcPr calcId="152511"/>
  <pivotCaches>
    <pivotCache cacheId="2" r:id="rId21"/>
    <pivotCache cacheId="3" r:id="rId22"/>
  </pivotCaches>
</workbook>
</file>

<file path=xl/calcChain.xml><?xml version="1.0" encoding="utf-8"?>
<calcChain xmlns="http://schemas.openxmlformats.org/spreadsheetml/2006/main">
  <c r="D5" i="156" l="1"/>
  <c r="C5" i="156"/>
  <c r="E4" i="156"/>
  <c r="F4" i="156" s="1"/>
  <c r="E3" i="156"/>
  <c r="F3" i="156" s="1"/>
  <c r="F5" i="156" l="1"/>
  <c r="E5" i="156"/>
</calcChain>
</file>

<file path=xl/comments1.xml><?xml version="1.0" encoding="utf-8"?>
<comments xmlns="http://schemas.openxmlformats.org/spreadsheetml/2006/main">
  <authors>
    <author>Qiutao (William)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Qiutao (William):</t>
        </r>
        <r>
          <rPr>
            <sz val="9"/>
            <color indexed="81"/>
            <rFont val="宋体"/>
            <family val="3"/>
            <charset val="134"/>
          </rPr>
          <t xml:space="preserve">
如果不使用原廊坊EDP，EDC系统，为何不在香港直接部署，避免查询效率低下</t>
        </r>
      </text>
    </comment>
  </commentList>
</comments>
</file>

<file path=xl/sharedStrings.xml><?xml version="1.0" encoding="utf-8"?>
<sst xmlns="http://schemas.openxmlformats.org/spreadsheetml/2006/main" count="391" uniqueCount="180">
  <si>
    <t>02 接纳|签单后开发</t>
  </si>
  <si>
    <t>总计</t>
  </si>
  <si>
    <t>交付月份</t>
  </si>
  <si>
    <t>是否剔除基线</t>
  </si>
  <si>
    <t>沙特Mobily NGSDP</t>
  </si>
  <si>
    <t>是Yes</t>
  </si>
  <si>
    <t>核心能力Core Capability</t>
  </si>
  <si>
    <t>liuxiaopeng 00106862</t>
  </si>
  <si>
    <t>综合结论 RMT/RAT's Conclusion</t>
  </si>
  <si>
    <t>是否回落基线*BaseLine Or Not</t>
  </si>
  <si>
    <t>价值特性Value Features</t>
  </si>
  <si>
    <t>Mobily_NGSDP-通过wallet扣费时，余额不足时触发自动充值</t>
  </si>
  <si>
    <t>RAT月份和第几周</t>
  </si>
  <si>
    <t>三月第1周</t>
  </si>
  <si>
    <t>Serial No.</t>
  </si>
  <si>
    <t xml:space="preserve">Req. Title </t>
  </si>
  <si>
    <t>需求描述 Description</t>
  </si>
  <si>
    <t>所属区域 Region</t>
  </si>
  <si>
    <t>希望该需求交付日期 Expected Offering Date</t>
  </si>
  <si>
    <t>当前处理人Current Approvers</t>
  </si>
  <si>
    <t>其他参与人 Other Attenders</t>
  </si>
  <si>
    <t>所属项目名称 *  Project Name</t>
  </si>
  <si>
    <t>需求类型* Type</t>
  </si>
  <si>
    <t xml:space="preserve">
当前处理人的初步分析结论 * Draft Analysis Solution</t>
  </si>
  <si>
    <t>MDSP工作量(K)*
Workload</t>
  </si>
  <si>
    <t>BFM工作量(K)*
Workload</t>
  </si>
  <si>
    <t>IB工作量(K)*
Workload</t>
  </si>
  <si>
    <t>SAG/NAG工作量(K)*
Workload</t>
  </si>
  <si>
    <t>DLSC/Streaming/DRM工作量(K)*
Workload</t>
  </si>
  <si>
    <t>PortalOne工作量(K)*
Workload</t>
  </si>
  <si>
    <t>iMOST/Promotion工作量(K)*
Workload</t>
  </si>
  <si>
    <t>DNA工作量(K)*
Workload</t>
  </si>
  <si>
    <t>SEE工作量(K)*
Workload</t>
  </si>
  <si>
    <t>Report工作量(K)*
Workload</t>
  </si>
  <si>
    <t>其他工作量(K)*
Workload</t>
  </si>
  <si>
    <t>总工作量(K) Total Workload</t>
  </si>
  <si>
    <t>交付时间点 Offering Date（YYYY-MM-DD）*</t>
  </si>
  <si>
    <t>解决方案版本号 Solution Version</t>
  </si>
  <si>
    <t>MDSP版本号 Version</t>
  </si>
  <si>
    <t>SAG/NAG版本号Version</t>
  </si>
  <si>
    <t>DLSC/Streaming/DRM版本号Version</t>
  </si>
  <si>
    <t>PortalOne版本号Version</t>
  </si>
  <si>
    <t>iMOST/Promotion版本号Version</t>
  </si>
  <si>
    <t>DNA版本号Version</t>
  </si>
  <si>
    <t>SEE版本号Version</t>
  </si>
  <si>
    <t>Report版本号Version</t>
  </si>
  <si>
    <t>其他版本号Version</t>
  </si>
  <si>
    <t>价格 Price</t>
  </si>
  <si>
    <t>销售模式 Sale Mode</t>
  </si>
  <si>
    <t xml:space="preserve">会议结论 Meeting Conclusion </t>
  </si>
  <si>
    <t>Please follow the instruction showed as below to fill in this attribute._x000D_
_x000D_
【The description of the customer’s business issue】:_x000D_
OTT业务都通过payment hub的wallet扣费；大量用户wallet余额不足，导致业务续订扣费失败。_x000D_
_x000D_
【The description of the customer’s demand on the product/solution（requirement scenario ）】:_x000D_
用户设置默认充值方式；在扣费请求在余额不足时，允许系统自动通过默认充值方式自动充值并完成扣费。_x000D_
_x000D_
_x000D_
【The gap description of Huawei’s current product/solution （what features should be needed）】:_x000D_
payment hub需要做逻辑编排，扣费请求发生时，当客户侧wallet返回余额不足，完成自动充值、重新完成扣费并返回给扣费请求发起方。_x000D_
_x000D_
_x000D_
_x000D_
【 The influencing analysis of not accepting this requirement （ requirement value）】:_x000D_
当初因为一些历史原因，huawei没有提供wallet存钱功能，于是客户侧自行开发了wallet功能。现在我们希望能割接客户的wallet。_x000D_
实际上，NGSDP 客户也有强烈诉求将IT wallet割接到NGSDP内部，但还涉及客户内部部门沟通，暂时无法承诺割接时间。_x000D_
_x000D_
目前客户侧wallet接口也只开放给NGSDP，且只有扣费、充值、余额查询功能，且也不关注充值的钱的来源，仅类似DB增删查功能。_x000D_
我们如果不做，客户侧会自行想办法做的话，他们逻辑越做越多，后面更加无法割接。_x000D_
_x000D_
_x000D_
【The offering release which used in the current network 、 dimension、the upgrade plan】:_x000D_
_x000D_
【The former people discussed with】:_x000D_
liuxiaopeng，yangchun_x000D_
_x000D_
【Contact man of this requirement】:_x000D_
yangfuping_x000D_
_x000D_
【 Current status of the sale project （project general info/ emergency  degree）】:</t>
  </si>
  <si>
    <t>Middle East and Northern Africa Regional Division|Middle East Sub-Regional Division, ME&amp;NA|Saudi Arabia Rep Office, ME&amp;NA</t>
  </si>
  <si>
    <t>卢志敏</t>
  </si>
  <si>
    <t>PaymentHUb需要做这个需求，
该需求主要分为:
  &lt;1&gt; 所有Wallet的扣费，通过PaymentHUb的入口进行扣费.
  &lt;2&gt; 用户设置默认的充值方式.(PortalOne: 2K)
  &lt;3&gt; 余额不足时，按照默认的充值方式进行充值后再扣费.
备注:  按照以后NGSDP的存量经营规划，想去替换客户的Wallet,但是目前IT部门没搞定wallet部门.
需求难点:
   Wallet不是Huawei部件， 领导已有答复，该需求要求一线根据特性报价， 不能按照定制报价, 基线和项目都需要做PaymentHUb的账户管理.</t>
  </si>
  <si>
    <t>接纳，基线C20</t>
  </si>
  <si>
    <t>备注</t>
    <phoneticPr fontId="2" type="noConversion"/>
  </si>
  <si>
    <t>正常需求</t>
  </si>
  <si>
    <t>项目名称</t>
    <phoneticPr fontId="2" type="noConversion"/>
  </si>
  <si>
    <t>部件</t>
    <phoneticPr fontId="2" type="noConversion"/>
  </si>
  <si>
    <t>需求处理人</t>
    <phoneticPr fontId="2" type="noConversion"/>
  </si>
  <si>
    <t>决策点</t>
    <phoneticPr fontId="2" type="noConversion"/>
  </si>
  <si>
    <t>(空白)</t>
  </si>
  <si>
    <t>行标签</t>
  </si>
  <si>
    <t>是否CR</t>
  </si>
  <si>
    <t>期望交付时间</t>
    <phoneticPr fontId="2" type="noConversion"/>
  </si>
  <si>
    <r>
      <t>E2E</t>
    </r>
    <r>
      <rPr>
        <b/>
        <sz val="11"/>
        <color rgb="FF000000"/>
        <rFont val="宋体"/>
        <family val="3"/>
        <charset val="134"/>
        <scheme val="major"/>
      </rPr>
      <t>生产率(行/人天)</t>
    </r>
    <phoneticPr fontId="2" type="noConversion"/>
  </si>
  <si>
    <t>自有</t>
    <phoneticPr fontId="2" type="noConversion"/>
  </si>
  <si>
    <t>合作</t>
    <phoneticPr fontId="2" type="noConversion"/>
  </si>
  <si>
    <t>总人力</t>
    <phoneticPr fontId="2" type="noConversion"/>
  </si>
  <si>
    <t>吞吐量（K）</t>
    <phoneticPr fontId="2" type="noConversion"/>
  </si>
  <si>
    <t>总计</t>
    <phoneticPr fontId="2" type="noConversion"/>
  </si>
  <si>
    <t>TALM编号</t>
  </si>
  <si>
    <t>产业</t>
  </si>
  <si>
    <t>人力</t>
  </si>
  <si>
    <t>游戏</t>
  </si>
  <si>
    <t>视频</t>
  </si>
  <si>
    <t>邱涛 00255622</t>
  </si>
  <si>
    <t>瞿成兵 00381064</t>
  </si>
  <si>
    <t>All</t>
  </si>
  <si>
    <t>需求提交人</t>
  </si>
  <si>
    <t>功能 Function</t>
  </si>
  <si>
    <t>需求提交时间</t>
  </si>
  <si>
    <t>需求类型（细化）</t>
  </si>
  <si>
    <t>数据源具备时间</t>
  </si>
  <si>
    <t>数据接口确定时间</t>
  </si>
  <si>
    <t>One Data迁移满足度</t>
  </si>
  <si>
    <t>免</t>
  </si>
  <si>
    <t>02 接纳|组织方案设计</t>
  </si>
  <si>
    <t>是</t>
  </si>
  <si>
    <t>内部优化</t>
  </si>
  <si>
    <t>OK</t>
  </si>
  <si>
    <t>AHB前重新审视方案</t>
  </si>
  <si>
    <t>RAT上会时间</t>
  </si>
  <si>
    <t>功能Function</t>
  </si>
  <si>
    <t>22</t>
  </si>
  <si>
    <t>计数项:产业</t>
  </si>
  <si>
    <t>需求类型*</t>
  </si>
  <si>
    <t>工作量(人天)*</t>
  </si>
  <si>
    <t>RAT结论</t>
  </si>
  <si>
    <t>备注</t>
  </si>
  <si>
    <t xml:space="preserve">是否满足开发入口条件 </t>
  </si>
  <si>
    <t>AHB计划安排</t>
  </si>
  <si>
    <t>开发确认人</t>
    <phoneticPr fontId="2" type="noConversion"/>
  </si>
  <si>
    <t>1. 新搭建一套中国区EDP，EDC环境用于数据验证
2. 香港环境准备，TCC，DATALOADER，DATAPUSH等工具上网及调测完成</t>
  </si>
  <si>
    <t>需求标题*</t>
  </si>
  <si>
    <t>需求描述*</t>
  </si>
  <si>
    <t>需求处理人(按模板格式填写)*</t>
  </si>
  <si>
    <t>是否需要决策*</t>
  </si>
  <si>
    <t>SVN配置库方案URL*</t>
  </si>
  <si>
    <t>章节*</t>
  </si>
  <si>
    <t>需求价值说明*</t>
  </si>
  <si>
    <t>EDP用户趋势目录下热词搜索报表</t>
  </si>
  <si>
    <t>用户在门户和客户端进行搜索的情况，包括关键词搜索次数和关键词搜索人数。</t>
  </si>
  <si>
    <t>EDP用户趋势目录下活跃运营KPI报表</t>
  </si>
  <si>
    <t>项目中各类型的活跃会员数统计。</t>
  </si>
  <si>
    <t>EDP付费分析目录下收入分析报表</t>
  </si>
  <si>
    <t>项目各项收入统计</t>
  </si>
  <si>
    <t>EDP付费分析目录下支付失败分析报表</t>
  </si>
  <si>
    <t>项目中支付失败原因分析</t>
  </si>
  <si>
    <t>EDP付费分析目录下扣费统计报表</t>
  </si>
  <si>
    <t>项目中各类型的计费次数的统计</t>
  </si>
  <si>
    <t>EDP渠道分析目录下会员推广活动分析报表</t>
  </si>
  <si>
    <t>项目中营销活动对于业务增长效果分析。</t>
  </si>
  <si>
    <t>EDP渠道分析目录下应用推广活动分析</t>
  </si>
  <si>
    <t>EDP渠道分析目录下MTTI异常识别报表</t>
  </si>
  <si>
    <t>用户从点击推广链接到完成转化（订购成会员，或者下载安装应用）分析</t>
  </si>
  <si>
    <t>EDP渠道分析目录下用户行为监控报表</t>
  </si>
  <si>
    <t>营销活动对于用户行为影响的统计分析。</t>
  </si>
  <si>
    <t>EDP合作管理目录下合作管理报表</t>
  </si>
  <si>
    <t>项目中针对合作伙伴，收入，会员下载量的统计计算。</t>
  </si>
  <si>
    <t>EDP精品包目录下精品游戏报表</t>
  </si>
  <si>
    <t>项目中精品包涉及会员收入的统计分析。</t>
  </si>
  <si>
    <t>EDP精品包目录下退订分析报表</t>
  </si>
  <si>
    <t>项目中精品包各类型会员退订统计分析。</t>
  </si>
  <si>
    <t>EDC运营趋势报表</t>
  </si>
  <si>
    <t>游戏平台业务运营总览，包括下载量，用户数及收入的趋势分析。</t>
  </si>
  <si>
    <t>EDC联合营销分析报表</t>
  </si>
  <si>
    <t>营销活动对于业务运营各项指标的影响统计。</t>
  </si>
  <si>
    <t>EDC精品包报表</t>
  </si>
  <si>
    <t>精品包在各运营市场的业务统计分析。</t>
  </si>
  <si>
    <t>数据结算文件接口下的项目信息接口</t>
  </si>
  <si>
    <t>运营项目信息。</t>
  </si>
  <si>
    <t>数据结算文件接口下的合作伙伴明细收入信息接口</t>
  </si>
  <si>
    <t>合作伙伴收入明细，此部分数据由三部分组成，包含普通包内容，精品包及拉新期的数据，最小粒度到内容。</t>
  </si>
  <si>
    <t>数据结算文件接口下的精品包收入数据接口</t>
  </si>
  <si>
    <t>精品包收入信息。</t>
  </si>
  <si>
    <t>数据结算文件接口下的合作伙伴总收入数据接口</t>
  </si>
  <si>
    <t>合作伙伴收入汇总信息，最小粒度到支付渠道。</t>
  </si>
  <si>
    <t>邮件自动日报下的MTN集团报表</t>
  </si>
  <si>
    <t>每日发送，包括集团运营汇总数据及各子网信息分拆</t>
  </si>
  <si>
    <t>邮件自动日报下的MTN子网报表</t>
  </si>
  <si>
    <t>MTN下各子网业务运营数据</t>
  </si>
  <si>
    <t>邮件自动日报下的各局点游戏日报发送</t>
  </si>
  <si>
    <t>项目业务运营日报</t>
  </si>
  <si>
    <t>邮件自动日报下的推广渠道效果分析</t>
  </si>
  <si>
    <t>各推广渠道（子渠道）效果统计</t>
  </si>
  <si>
    <t>排行榜数据文件接口下的游戏下载日排行导出</t>
  </si>
  <si>
    <t>每日按内容的下载量统计</t>
  </si>
  <si>
    <t>排行榜数据文件接口下的日_总排行榜导出</t>
  </si>
  <si>
    <t>下载，飙升，关键字日，总排行榜输出</t>
  </si>
  <si>
    <t>ICSL送检支撑</t>
  </si>
  <si>
    <t xml:space="preserve">数据迁移 </t>
  </si>
  <si>
    <t>数据一致性比对</t>
  </si>
  <si>
    <t>现网BDI系统改造</t>
  </si>
  <si>
    <t>修改现网BDI系统，为香港节点提供数据源</t>
  </si>
  <si>
    <t>EDP项目列表目录下项目列表报表</t>
  </si>
  <si>
    <t>罗列系统内所有项目信息（包括非游戏项目），点击详情后可查看到具体的项目的详细运营信息。</t>
  </si>
  <si>
    <t>EDP项目概况目录下项目概况报表</t>
  </si>
  <si>
    <t>单个项目运营总览，包括下载量，用户数及收入的趋势分析。</t>
  </si>
  <si>
    <t>EDP用户趋势目录下会员用户报表</t>
  </si>
  <si>
    <t>项目中会员相关指标的统计呈现，包括各类型会员数，订购数等。</t>
  </si>
  <si>
    <t>EDP用户趋势目录下用户活跃参与报表</t>
  </si>
  <si>
    <t>统计项目用户活跃度，包括活跃用户，启动数，下载数等。</t>
  </si>
  <si>
    <t>EDP用户趋势目录下会员退订分析报表</t>
  </si>
  <si>
    <t>项目中会员退订情况统计，包括各类型退订会员数统计。</t>
  </si>
  <si>
    <r>
      <t>DevOps</t>
    </r>
    <r>
      <rPr>
        <sz val="10"/>
        <rFont val="宋体"/>
        <family val="3"/>
        <charset val="134"/>
      </rPr>
      <t>工程能力搭建</t>
    </r>
    <r>
      <rPr>
        <sz val="10"/>
        <rFont val="Arial"/>
        <family val="2"/>
      </rPr>
      <t>,</t>
    </r>
    <r>
      <rPr>
        <sz val="10"/>
        <rFont val="宋体"/>
        <family val="3"/>
        <charset val="134"/>
      </rPr>
      <t>包括代码静态检查能力，自动化测试，打包，部署</t>
    </r>
    <phoneticPr fontId="2" type="noConversion"/>
  </si>
  <si>
    <t>香港机房网络连通，环境搭建，平台版本安装</t>
    <phoneticPr fontId="2" type="noConversion"/>
  </si>
  <si>
    <t>基线安全设计</t>
    <phoneticPr fontId="2" type="noConversion"/>
  </si>
  <si>
    <t>基线安全特性整改</t>
    <phoneticPr fontId="2" type="noConversion"/>
  </si>
  <si>
    <t>测试，开发环境准备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</si>
</sst>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_-* #,##0.00_-;\-* #,##0.00_-;_-* &quot;-&quot;??_-;_-@_-"/>
    <numFmt numFmtId="177" formatCode="0.00;[Red]0.00"/>
    <numFmt numFmtId="178" formatCode="[$-409]mmm/yy;@"/>
    <numFmt numFmtId="179" formatCode="0.00_);[Red]\(0.00\)"/>
    <numFmt numFmtId="180" formatCode="0.0_);[Red]\(0.0\)"/>
    <numFmt numFmtId="181" formatCode="0_);[Red]\(0\)"/>
    <numFmt numFmtId="182" formatCode="yyyy\-mm\-dd"/>
    <numFmt numFmtId="183" formatCode="yyyy\-mm"/>
    <numFmt numFmtId="184" formatCode="0_ "/>
  </numFmts>
  <fonts count="21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10"/>
      <name val="Arial"/>
      <family val="2"/>
    </font>
    <font>
      <sz val="12"/>
      <name val="標楷體"/>
      <family val="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333333"/>
      <name val="宋体"/>
      <family val="3"/>
      <charset val="134"/>
    </font>
    <font>
      <b/>
      <sz val="10"/>
      <name val="微软雅黑"/>
      <family val="2"/>
      <charset val="134"/>
    </font>
    <font>
      <b/>
      <sz val="11"/>
      <color rgb="FF000000"/>
      <name val="宋体"/>
      <family val="3"/>
      <charset val="134"/>
      <scheme val="major"/>
    </font>
    <font>
      <sz val="15"/>
      <color rgb="FFFF0000"/>
      <name val="Calibri"/>
      <family val="2"/>
    </font>
    <font>
      <sz val="11"/>
      <color rgb="FF000000"/>
      <name val="宋体"/>
      <family val="3"/>
      <charset val="134"/>
    </font>
    <font>
      <u/>
      <sz val="12"/>
      <color theme="10"/>
      <name val="FrutigerNext LT Regular"/>
      <family val="2"/>
    </font>
    <font>
      <sz val="10.5"/>
      <name val="Calibri"/>
      <family val="2"/>
    </font>
    <font>
      <b/>
      <sz val="11"/>
      <color rgb="FF333333"/>
      <name val="宋体"/>
      <family val="3"/>
      <charset val="134"/>
    </font>
    <font>
      <b/>
      <sz val="12"/>
      <name val="Arial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0"/>
      <name val="Arial"/>
      <family val="2"/>
    </font>
    <font>
      <sz val="1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4">
    <xf numFmtId="178" fontId="0" fillId="0" borderId="0">
      <alignment vertical="center"/>
    </xf>
    <xf numFmtId="178" fontId="3" fillId="0" borderId="0"/>
    <xf numFmtId="178" fontId="1" fillId="0" borderId="0"/>
    <xf numFmtId="178" fontId="3" fillId="0" borderId="0"/>
    <xf numFmtId="178" fontId="5" fillId="0" borderId="0"/>
    <xf numFmtId="178" fontId="4" fillId="0" borderId="0"/>
    <xf numFmtId="178" fontId="6" fillId="0" borderId="0"/>
    <xf numFmtId="178" fontId="1" fillId="0" borderId="0">
      <alignment vertical="center"/>
    </xf>
    <xf numFmtId="178" fontId="7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1" fillId="0" borderId="0"/>
    <xf numFmtId="178" fontId="1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13" fillId="0" borderId="0" applyNumberFormat="0" applyFill="0" applyBorder="0" applyAlignment="0" applyProtection="0">
      <alignment vertical="top"/>
      <protection locked="0"/>
    </xf>
    <xf numFmtId="178" fontId="1" fillId="0" borderId="0">
      <alignment vertical="center"/>
    </xf>
    <xf numFmtId="178" fontId="1" fillId="0" borderId="0">
      <alignment vertical="center"/>
    </xf>
    <xf numFmtId="178" fontId="13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4" fillId="0" borderId="0"/>
  </cellStyleXfs>
  <cellXfs count="79">
    <xf numFmtId="178" fontId="0" fillId="0" borderId="0" xfId="0">
      <alignment vertical="center"/>
    </xf>
    <xf numFmtId="178" fontId="0" fillId="0" borderId="0" xfId="0" applyAlignment="1">
      <alignment vertical="center" wrapText="1"/>
    </xf>
    <xf numFmtId="179" fontId="1" fillId="0" borderId="0" xfId="7" applyNumberFormat="1">
      <alignment vertical="center"/>
    </xf>
    <xf numFmtId="178" fontId="0" fillId="0" borderId="0" xfId="0" pivotButton="1">
      <alignment vertical="center"/>
    </xf>
    <xf numFmtId="178" fontId="0" fillId="0" borderId="0" xfId="0" applyAlignment="1">
      <alignment horizontal="left" vertical="center"/>
    </xf>
    <xf numFmtId="179" fontId="1" fillId="0" borderId="0" xfId="7" applyNumberFormat="1" applyAlignment="1">
      <alignment horizontal="center" vertical="center"/>
    </xf>
    <xf numFmtId="179" fontId="0" fillId="0" borderId="0" xfId="0" applyNumberFormat="1">
      <alignment vertical="center"/>
    </xf>
    <xf numFmtId="178" fontId="1" fillId="0" borderId="0" xfId="0" applyFont="1">
      <alignment vertical="center"/>
    </xf>
    <xf numFmtId="177" fontId="1" fillId="0" borderId="0" xfId="7" applyNumberFormat="1">
      <alignment vertical="center"/>
    </xf>
    <xf numFmtId="179" fontId="11" fillId="0" borderId="0" xfId="0" applyNumberFormat="1" applyFont="1" applyBorder="1" applyAlignment="1">
      <alignment horizontal="justify" vertical="top" wrapText="1"/>
    </xf>
    <xf numFmtId="179" fontId="8" fillId="2" borderId="1" xfId="0" applyNumberFormat="1" applyFont="1" applyFill="1" applyBorder="1" applyAlignment="1">
      <alignment horizontal="center" vertical="center" wrapText="1" readingOrder="1"/>
    </xf>
    <xf numFmtId="180" fontId="8" fillId="9" borderId="1" xfId="0" applyNumberFormat="1" applyFont="1" applyFill="1" applyBorder="1" applyAlignment="1">
      <alignment horizontal="center" vertical="center" wrapText="1" readingOrder="1"/>
    </xf>
    <xf numFmtId="179" fontId="8" fillId="9" borderId="1" xfId="0" applyNumberFormat="1" applyFont="1" applyFill="1" applyBorder="1" applyAlignment="1">
      <alignment horizontal="center" vertical="center" wrapText="1" readingOrder="1"/>
    </xf>
    <xf numFmtId="179" fontId="0" fillId="7" borderId="2" xfId="0" applyNumberFormat="1" applyFill="1" applyBorder="1">
      <alignment vertical="center"/>
    </xf>
    <xf numFmtId="180" fontId="0" fillId="8" borderId="2" xfId="0" applyNumberFormat="1" applyFill="1" applyBorder="1">
      <alignment vertical="center"/>
    </xf>
    <xf numFmtId="178" fontId="0" fillId="0" borderId="0" xfId="0" applyNumberFormat="1">
      <alignment vertical="center"/>
    </xf>
    <xf numFmtId="178" fontId="1" fillId="0" borderId="0" xfId="17">
      <alignment vertical="center"/>
    </xf>
    <xf numFmtId="178" fontId="1" fillId="0" borderId="0" xfId="13" applyNumberFormat="1">
      <alignment vertical="center"/>
    </xf>
    <xf numFmtId="178" fontId="0" fillId="0" borderId="0" xfId="0">
      <alignment vertical="center"/>
    </xf>
    <xf numFmtId="178" fontId="1" fillId="0" borderId="0" xfId="19">
      <alignment vertical="center"/>
    </xf>
    <xf numFmtId="178" fontId="14" fillId="0" borderId="0" xfId="0" applyFont="1">
      <alignment vertical="center"/>
    </xf>
    <xf numFmtId="178" fontId="1" fillId="0" borderId="0" xfId="20">
      <alignment vertical="center"/>
    </xf>
    <xf numFmtId="178" fontId="1" fillId="0" borderId="0" xfId="20" applyFill="1">
      <alignment vertical="center"/>
    </xf>
    <xf numFmtId="178" fontId="1" fillId="0" borderId="0" xfId="19" applyFill="1">
      <alignment vertical="center"/>
    </xf>
    <xf numFmtId="178" fontId="12" fillId="3" borderId="0" xfId="0" applyNumberFormat="1" applyFont="1" applyFill="1" applyBorder="1" applyAlignment="1">
      <alignment horizontal="left" vertical="center"/>
    </xf>
    <xf numFmtId="178" fontId="1" fillId="3" borderId="0" xfId="17" applyFill="1" applyBorder="1">
      <alignment vertical="center"/>
    </xf>
    <xf numFmtId="179" fontId="9" fillId="9" borderId="2" xfId="5" applyNumberFormat="1" applyFont="1" applyFill="1" applyBorder="1" applyAlignment="1">
      <alignment horizontal="center" vertical="center" wrapText="1" readingOrder="1"/>
    </xf>
    <xf numFmtId="179" fontId="15" fillId="4" borderId="2" xfId="0" applyNumberFormat="1" applyFont="1" applyFill="1" applyBorder="1" applyAlignment="1">
      <alignment horizontal="center" vertical="center" wrapText="1" readingOrder="1"/>
    </xf>
    <xf numFmtId="178" fontId="4" fillId="0" borderId="0" xfId="13" applyNumberFormat="1" applyFont="1">
      <alignment vertical="center"/>
    </xf>
    <xf numFmtId="178" fontId="0" fillId="0" borderId="0" xfId="0" applyAlignment="1">
      <alignment horizontal="left" vertical="center" indent="1"/>
    </xf>
    <xf numFmtId="2" fontId="0" fillId="0" borderId="0" xfId="0" applyNumberFormat="1">
      <alignment vertical="center"/>
    </xf>
    <xf numFmtId="183" fontId="0" fillId="0" borderId="0" xfId="0" applyNumberFormat="1">
      <alignment vertical="center"/>
    </xf>
    <xf numFmtId="178" fontId="16" fillId="0" borderId="3" xfId="19" applyNumberFormat="1" applyFont="1" applyFill="1" applyBorder="1">
      <alignment vertical="center"/>
    </xf>
    <xf numFmtId="178" fontId="16" fillId="0" borderId="4" xfId="19" applyNumberFormat="1" applyFont="1" applyFill="1" applyBorder="1">
      <alignment vertical="center"/>
    </xf>
    <xf numFmtId="178" fontId="16" fillId="11" borderId="4" xfId="19" applyNumberFormat="1" applyFont="1" applyFill="1" applyBorder="1">
      <alignment vertical="center"/>
    </xf>
    <xf numFmtId="178" fontId="16" fillId="11" borderId="4" xfId="19" applyNumberFormat="1" applyFont="1" applyFill="1" applyBorder="1" applyAlignment="1">
      <alignment vertical="center" wrapText="1"/>
    </xf>
    <xf numFmtId="181" fontId="4" fillId="10" borderId="4" xfId="13" applyNumberFormat="1" applyFont="1" applyFill="1" applyBorder="1" applyAlignment="1">
      <alignment horizontal="center" vertical="center"/>
    </xf>
    <xf numFmtId="178" fontId="4" fillId="10" borderId="4" xfId="13" applyFont="1" applyFill="1" applyBorder="1">
      <alignment vertical="center"/>
    </xf>
    <xf numFmtId="178" fontId="4" fillId="10" borderId="4" xfId="13" applyNumberFormat="1" applyFont="1" applyFill="1" applyBorder="1">
      <alignment vertical="center"/>
    </xf>
    <xf numFmtId="182" fontId="4" fillId="6" borderId="4" xfId="13" applyNumberFormat="1" applyFont="1" applyFill="1" applyBorder="1">
      <alignment vertical="center"/>
    </xf>
    <xf numFmtId="178" fontId="4" fillId="5" borderId="4" xfId="7" applyNumberFormat="1" applyFont="1" applyFill="1" applyBorder="1" applyAlignment="1">
      <alignment vertical="center" wrapText="1"/>
    </xf>
    <xf numFmtId="183" fontId="4" fillId="5" borderId="4" xfId="13" applyNumberFormat="1" applyFont="1" applyFill="1" applyBorder="1">
      <alignment vertical="center"/>
    </xf>
    <xf numFmtId="178" fontId="4" fillId="6" borderId="4" xfId="13" applyFont="1" applyFill="1" applyBorder="1">
      <alignment vertical="center"/>
    </xf>
    <xf numFmtId="178" fontId="4" fillId="0" borderId="0" xfId="13" applyFont="1">
      <alignment vertical="center"/>
    </xf>
    <xf numFmtId="178" fontId="4" fillId="10" borderId="4" xfId="13" applyFont="1" applyFill="1" applyBorder="1" applyAlignment="1">
      <alignment vertical="center" wrapText="1"/>
    </xf>
    <xf numFmtId="178" fontId="16" fillId="11" borderId="4" xfId="19" applyNumberFormat="1" applyFont="1" applyFill="1" applyBorder="1" applyAlignment="1">
      <alignment horizontal="left" vertical="center"/>
    </xf>
    <xf numFmtId="14" fontId="4" fillId="10" borderId="4" xfId="13" applyNumberFormat="1" applyFont="1" applyFill="1" applyBorder="1" applyAlignment="1">
      <alignment horizontal="left" vertical="center"/>
    </xf>
    <xf numFmtId="49" fontId="16" fillId="11" borderId="4" xfId="19" applyNumberFormat="1" applyFont="1" applyFill="1" applyBorder="1">
      <alignment vertical="center"/>
    </xf>
    <xf numFmtId="182" fontId="16" fillId="11" borderId="4" xfId="19" applyNumberFormat="1" applyFont="1" applyFill="1" applyBorder="1" applyAlignment="1">
      <alignment horizontal="left" vertical="center"/>
    </xf>
    <xf numFmtId="182" fontId="4" fillId="10" borderId="4" xfId="13" applyNumberFormat="1" applyFont="1" applyFill="1" applyBorder="1" applyAlignment="1">
      <alignment horizontal="left" vertical="center"/>
    </xf>
    <xf numFmtId="178" fontId="4" fillId="6" borderId="4" xfId="13" applyFont="1" applyFill="1" applyBorder="1" applyAlignment="1">
      <alignment vertical="center" wrapText="1"/>
    </xf>
    <xf numFmtId="178" fontId="0" fillId="0" borderId="5" xfId="0" applyBorder="1">
      <alignment vertical="center"/>
    </xf>
    <xf numFmtId="178" fontId="0" fillId="0" borderId="6" xfId="0" applyBorder="1">
      <alignment vertical="center"/>
    </xf>
    <xf numFmtId="178" fontId="0" fillId="0" borderId="7" xfId="0" applyBorder="1">
      <alignment vertical="center"/>
    </xf>
    <xf numFmtId="2" fontId="0" fillId="0" borderId="8" xfId="0" applyNumberFormat="1" applyBorder="1">
      <alignment vertical="center"/>
    </xf>
    <xf numFmtId="2" fontId="0" fillId="0" borderId="9" xfId="0" applyNumberFormat="1" applyBorder="1">
      <alignment vertical="center"/>
    </xf>
    <xf numFmtId="2" fontId="0" fillId="0" borderId="10" xfId="0" applyNumberFormat="1" applyBorder="1">
      <alignment vertical="center"/>
    </xf>
    <xf numFmtId="2" fontId="0" fillId="0" borderId="11" xfId="0" applyNumberFormat="1" applyBorder="1">
      <alignment vertical="center"/>
    </xf>
    <xf numFmtId="2" fontId="0" fillId="0" borderId="12" xfId="0" applyNumberFormat="1" applyBorder="1">
      <alignment vertical="center"/>
    </xf>
    <xf numFmtId="2" fontId="0" fillId="0" borderId="13" xfId="0" applyNumberFormat="1" applyBorder="1">
      <alignment vertical="center"/>
    </xf>
    <xf numFmtId="49" fontId="0" fillId="0" borderId="0" xfId="0" applyNumberFormat="1">
      <alignment vertical="center"/>
    </xf>
    <xf numFmtId="49" fontId="4" fillId="6" borderId="4" xfId="13" applyNumberFormat="1" applyFont="1" applyFill="1" applyBorder="1">
      <alignment vertical="center"/>
    </xf>
    <xf numFmtId="49" fontId="4" fillId="10" borderId="4" xfId="1" applyNumberFormat="1" applyFont="1" applyFill="1" applyBorder="1" applyAlignment="1">
      <alignment horizontal="left" vertical="center" wrapText="1"/>
    </xf>
    <xf numFmtId="182" fontId="4" fillId="10" borderId="4" xfId="1" applyNumberFormat="1" applyFont="1" applyFill="1" applyBorder="1" applyAlignment="1">
      <alignment horizontal="left" vertical="center" wrapText="1"/>
    </xf>
    <xf numFmtId="49" fontId="4" fillId="5" borderId="4" xfId="1" applyNumberFormat="1" applyFont="1" applyFill="1" applyBorder="1" applyAlignment="1">
      <alignment horizontal="left" vertical="center" wrapText="1"/>
    </xf>
    <xf numFmtId="184" fontId="4" fillId="5" borderId="4" xfId="1" applyNumberFormat="1" applyFont="1" applyFill="1" applyBorder="1" applyAlignment="1">
      <alignment horizontal="left" vertical="center" wrapText="1"/>
    </xf>
    <xf numFmtId="49" fontId="4" fillId="6" borderId="4" xfId="1" applyNumberFormat="1" applyFont="1" applyFill="1" applyBorder="1" applyAlignment="1">
      <alignment horizontal="left" vertical="center" wrapText="1"/>
    </xf>
    <xf numFmtId="182" fontId="4" fillId="6" borderId="4" xfId="1" applyNumberFormat="1" applyFont="1" applyFill="1" applyBorder="1" applyAlignment="1">
      <alignment horizontal="left" vertical="center" wrapText="1"/>
    </xf>
    <xf numFmtId="183" fontId="4" fillId="5" borderId="4" xfId="1" applyNumberFormat="1" applyFont="1" applyFill="1" applyBorder="1" applyAlignment="1">
      <alignment horizontal="left" vertical="center" wrapText="1"/>
    </xf>
    <xf numFmtId="1" fontId="4" fillId="5" borderId="4" xfId="1" applyNumberFormat="1" applyFont="1" applyFill="1" applyBorder="1" applyAlignment="1">
      <alignment horizontal="left" vertical="center" wrapText="1"/>
    </xf>
    <xf numFmtId="49" fontId="19" fillId="6" borderId="4" xfId="18" applyNumberFormat="1" applyFont="1" applyFill="1" applyBorder="1" applyAlignment="1" applyProtection="1">
      <alignment horizontal="left" vertical="center" wrapText="1"/>
    </xf>
    <xf numFmtId="178" fontId="4" fillId="0" borderId="0" xfId="17" applyFont="1">
      <alignment vertical="center"/>
    </xf>
    <xf numFmtId="178" fontId="19" fillId="6" borderId="4" xfId="18" applyFont="1" applyFill="1" applyBorder="1" applyAlignment="1" applyProtection="1">
      <alignment vertical="center" wrapText="1"/>
    </xf>
    <xf numFmtId="179" fontId="9" fillId="7" borderId="2" xfId="5" applyNumberFormat="1" applyFont="1" applyFill="1" applyBorder="1" applyAlignment="1">
      <alignment horizontal="center" vertical="center"/>
    </xf>
    <xf numFmtId="179" fontId="9" fillId="7" borderId="2" xfId="5" applyNumberFormat="1" applyFont="1" applyFill="1" applyBorder="1" applyAlignment="1">
      <alignment horizontal="center" vertical="center" wrapText="1"/>
    </xf>
    <xf numFmtId="179" fontId="9" fillId="9" borderId="2" xfId="5" applyNumberFormat="1" applyFont="1" applyFill="1" applyBorder="1" applyAlignment="1">
      <alignment horizontal="center" vertical="center" wrapText="1" readingOrder="1"/>
    </xf>
    <xf numFmtId="0" fontId="4" fillId="5" borderId="4" xfId="1" applyNumberFormat="1" applyFont="1" applyFill="1" applyBorder="1" applyAlignment="1">
      <alignment horizontal="left" vertical="center" wrapText="1"/>
    </xf>
    <xf numFmtId="49" fontId="20" fillId="10" borderId="4" xfId="1" applyNumberFormat="1" applyFont="1" applyFill="1" applyBorder="1" applyAlignment="1">
      <alignment horizontal="left" vertical="center" wrapText="1"/>
    </xf>
    <xf numFmtId="181" fontId="4" fillId="5" borderId="4" xfId="1" applyNumberFormat="1" applyFont="1" applyFill="1" applyBorder="1" applyAlignment="1">
      <alignment horizontal="left" vertical="center" wrapText="1"/>
    </xf>
  </cellXfs>
  <cellStyles count="24">
    <cellStyle name="0,0_x000d__x000a_NA_x000d__x000a_" xfId="1"/>
    <cellStyle name="0,0_x000d__x000a_NA_x000d__x000a_ 3 2" xfId="14"/>
    <cellStyle name="Comma 2" xfId="9"/>
    <cellStyle name="Normal 2" xfId="23"/>
    <cellStyle name="常规" xfId="0" builtinId="0"/>
    <cellStyle name="常规 10" xfId="15"/>
    <cellStyle name="常规 11" xfId="16"/>
    <cellStyle name="常规 12" xfId="17"/>
    <cellStyle name="常规 12 2" xfId="20"/>
    <cellStyle name="常规 13" xfId="22"/>
    <cellStyle name="常规 2" xfId="2"/>
    <cellStyle name="常规 3" xfId="5"/>
    <cellStyle name="常规 4" xfId="6"/>
    <cellStyle name="常规 5" xfId="7"/>
    <cellStyle name="常规 6" xfId="8"/>
    <cellStyle name="常规 6 2" xfId="12"/>
    <cellStyle name="常规 7" xfId="10"/>
    <cellStyle name="常规 8" xfId="11"/>
    <cellStyle name="常规 9" xfId="13"/>
    <cellStyle name="常规 9 2" xfId="19"/>
    <cellStyle name="超链接" xfId="18" builtinId="8"/>
    <cellStyle name="超链接 2" xfId="21"/>
    <cellStyle name="样式 1" xfId="3"/>
    <cellStyle name="一般_twinstars-calendar-01" xfId="4"/>
  </cellStyles>
  <dxfs count="5">
    <dxf>
      <numFmt numFmtId="183" formatCode="yyyy\-mm"/>
    </dxf>
    <dxf>
      <numFmt numFmtId="2" formatCode="0.00"/>
    </dxf>
    <dxf>
      <numFmt numFmtId="2" formatCode="0.00"/>
    </dxf>
    <dxf>
      <alignment horizontal="general" vertical="center" textRotation="0" wrapText="1" relativeIndent="0" justifyLastLine="0" shrinkToFit="0" readingOrder="0"/>
    </dxf>
    <dxf>
      <alignment horizontal="general" vertical="center" textRotation="0" wrapText="1" relativeIndent="0" justifyLastLine="0" shrinkToFit="0" readingOrder="0"/>
    </dxf>
  </dxfs>
  <tableStyles count="0" defaultTableStyle="TableStyleMedium9" defaultPivotStyle="PivotStyleLight16"/>
  <colors>
    <mruColors>
      <color rgb="FFFF99CC"/>
      <color rgb="FFFF99FF"/>
      <color rgb="FF0000FF"/>
      <color rgb="FFB54441"/>
      <color rgb="FFCC9900"/>
      <color rgb="FF996600"/>
      <color rgb="FF663300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pivotCacheDefinition" Target="pivotCache/pivotCacheDefinition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[WiseData 平台切换需求汇总_20170905.xlsm]产业月度趋势图!数据透视表5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大数据平台月度需求规划工作量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99301920"/>
        <c:axId val="-1899298656"/>
      </c:barChart>
      <c:catAx>
        <c:axId val="-189930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99298656"/>
        <c:crosses val="autoZero"/>
        <c:auto val="1"/>
        <c:lblAlgn val="ctr"/>
        <c:lblOffset val="100"/>
        <c:noMultiLvlLbl val="0"/>
      </c:catAx>
      <c:valAx>
        <c:axId val="-189929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9930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324968</xdr:colOff>
      <xdr:row>5</xdr:row>
      <xdr:rowOff>107576</xdr:rowOff>
    </xdr:from>
    <xdr:to>
      <xdr:col>19</xdr:col>
      <xdr:colOff>235324</xdr:colOff>
      <xdr:row>31</xdr:row>
      <xdr:rowOff>100853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vn\SDP\SDP%20V300R003C30LG0001\&#29256;&#26412;&#28779;&#36710;&#36816;&#20316;\04.&#38656;&#27714;&#31649;&#29702;\4.1%20RAT&#38656;&#27714;&#27719;&#24635;\Users\hWX295507\Desktop\20151022\SDP%20Platfrom%20%20RAT%20&#20250;&#35758;&#25910;&#38598;&#27169;&#26495;_1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kgnas04-rd\DOCUME~2\L00150~1\LOCALS~1\Temp\notesE97E9E\&#32769;&#24179;&#21488;&#38656;&#27714;2010090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wx207179\AppData\Local\Microsoft\Windows\Temporary%20Internet%20Files\Content.Outlook\Z1I2M76E\SDP%20Platfrom%20%20RAT%20&#20250;&#35758;&#25910;&#38598;_20160315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\svn\SDP%20&#22522;&#32447;&#35774;&#35745;&#32452;\VAS&#35299;&#20915;&#26041;&#26696;\F.&#20363;&#34892;&#20107;&#21153;\RAT\01%20RM&#35780;&#23457;&#32426;&#35201;\SDP%20Platfrom%20RAT&#35780;&#23457;&#32426;&#35201;20151028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wx207179\AppData\Local\Microsoft\Windows\Temporary%20Internet%20Files\Content.Outlook\Z1I2M76E\SDP%20Platfrom%20%20RAT%20&#20250;&#35758;&#25910;&#38598;&#27169;&#26495;_20160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wx207179\AppData\Local\Microsoft\Windows\Temporary%20Internet%20Files\Content.Outlook\KW9ZSOFX\SDP%20Platfrom%20%20RAT%20&#20250;&#35758;&#25910;&#38598;&#27169;&#26495;_&#38470;&#22810;&#20426;20160225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48320\AppData\Local\Microsoft\Windows\Temporary%20Internet%20Files\Content.Outlook\U07RLGCY\SDP%20Platfrom%20%20RAT%20&#20250;&#35758;&#25910;&#38598;(2016-01-05%20&#33778;&#24459;&#23486;Globle&#65289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00255644\AppData\Local\Microsoft\Windows\Temporary%20Internet%20Files\Content.Outlook\7EH318KJ\SDP%20Platfrom%20%20RAT%20&#20250;&#35758;&#25910;&#38598;&#27169;&#26495;_PortalONE_2016112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wx207179\AppData\Local\Microsoft\Windows\Temporary%20Internet%20Files\Content.Outlook\KW9ZSOFX\SDP%20Platfrom%20%20RAT%20&#20250;&#35758;&#25910;&#38598;_2016&#38598;&#21512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WX295507\AppData\Local\Microsoft\Windows\Temporary%20Internet%20Files\Content.Outlook\YFONVO61\SDP%20Platfrom%20%20RAT&#65288;20151023&#65289;_guojianfeng%2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vn\SDP\SDP%20V300R003C30LG0001\&#29256;&#26412;&#28779;&#36710;&#36816;&#20316;\04.&#38656;&#27714;&#31649;&#29702;\4.1%20RAT&#38656;&#27714;&#27719;&#24635;\Users\hWX295507\AppData\Local\Microsoft\Windows\Temporary%20Internet%20Files\Content.Outlook\YFONVO61\SDP%20Platfrom%20%20RAT%20&#20250;&#35758;&#25910;&#38598;&#27169;&#26495;_&#21160;&#28459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eData-CBG/Team/06.%20&#39033;&#30446;&#31649;&#29702;/01.%20&#38656;&#27714;&#31649;&#29702;/&#38656;&#27714;&#25910;&#38598;/2017/&#22823;&#25968;&#25454;RAT&#38656;&#27714;&#35758;&#39064;&#25910;&#38598;_201706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str">
            <v>AMXHUB</v>
          </cell>
        </row>
        <row r="3">
          <cell r="A3" t="str">
            <v>SalvadorSDP</v>
          </cell>
        </row>
        <row r="4">
          <cell r="A4" t="str">
            <v>GlobalSMT</v>
          </cell>
        </row>
        <row r="5">
          <cell r="A5" t="str">
            <v>Hosting</v>
          </cell>
        </row>
        <row r="6">
          <cell r="A6" t="str">
            <v>印尼Indosat</v>
          </cell>
        </row>
        <row r="7">
          <cell r="A7" t="str">
            <v>沙特MobilyDT</v>
          </cell>
        </row>
        <row r="8">
          <cell r="A8" t="str">
            <v>MTN多国</v>
          </cell>
        </row>
        <row r="9">
          <cell r="A9" t="str">
            <v>SDP基线</v>
          </cell>
        </row>
        <row r="10">
          <cell r="A10" t="str">
            <v>肯尼亚SFC</v>
          </cell>
        </row>
        <row r="11">
          <cell r="A11" t="str">
            <v>西班牙SPOC</v>
          </cell>
        </row>
        <row r="12">
          <cell r="A12" t="str">
            <v>TLFSDP</v>
          </cell>
        </row>
        <row r="13">
          <cell r="A13" t="str">
            <v>印尼XL</v>
          </cell>
        </row>
        <row r="14">
          <cell r="A14" t="str">
            <v>阿尔及利亚SDP</v>
          </cell>
        </row>
        <row r="15">
          <cell r="A15" t="str">
            <v>埃及ET</v>
          </cell>
        </row>
        <row r="16">
          <cell r="A16" t="str">
            <v>埃及mobinil</v>
          </cell>
        </row>
        <row r="17">
          <cell r="A17" t="str">
            <v>埃塞ET</v>
          </cell>
        </row>
        <row r="18">
          <cell r="A18" t="str">
            <v>安哥拉unitel</v>
          </cell>
        </row>
        <row r="19">
          <cell r="A19" t="str">
            <v>德国O2</v>
          </cell>
        </row>
        <row r="20">
          <cell r="A20" t="str">
            <v>菲律宾CDP</v>
          </cell>
        </row>
        <row r="21">
          <cell r="A21" t="str">
            <v>菲律宾Globe</v>
          </cell>
        </row>
        <row r="22">
          <cell r="A22" t="str">
            <v>哥伦比亚SDP</v>
          </cell>
        </row>
        <row r="23">
          <cell r="A23" t="str">
            <v>马来西亚CELCOM</v>
          </cell>
        </row>
        <row r="24">
          <cell r="A24" t="str">
            <v>孟加拉Robi</v>
          </cell>
        </row>
        <row r="25">
          <cell r="A25" t="str">
            <v>墨西哥IusacellSDP</v>
          </cell>
        </row>
        <row r="26">
          <cell r="A26" t="str">
            <v>南方基地</v>
          </cell>
        </row>
        <row r="27">
          <cell r="A27" t="str">
            <v>沙特ZAIN</v>
          </cell>
        </row>
        <row r="28">
          <cell r="A28" t="str">
            <v>山东联通FBB</v>
          </cell>
        </row>
        <row r="29">
          <cell r="A29" t="str">
            <v>视频基地</v>
          </cell>
        </row>
        <row r="30">
          <cell r="A30" t="str">
            <v>泰国DTAC</v>
          </cell>
        </row>
        <row r="31">
          <cell r="A31" t="str">
            <v>天津资源池</v>
          </cell>
        </row>
        <row r="32">
          <cell r="A32" t="str">
            <v>乌克兰MTS</v>
          </cell>
        </row>
        <row r="33">
          <cell r="A33" t="str">
            <v>西班牙MVAS</v>
          </cell>
        </row>
        <row r="34">
          <cell r="A34" t="str">
            <v>伊朗三牌</v>
          </cell>
        </row>
        <row r="35">
          <cell r="A35" t="str">
            <v>移动动漫基地</v>
          </cell>
        </row>
        <row r="36">
          <cell r="A36" t="str">
            <v>移动游戏基地</v>
          </cell>
        </row>
        <row r="37">
          <cell r="A37" t="str">
            <v>移动阅读基地</v>
          </cell>
        </row>
        <row r="38">
          <cell r="A38" t="str">
            <v>智利VTR</v>
          </cell>
        </row>
        <row r="39">
          <cell r="A39" t="str">
            <v>伊拉克zain</v>
          </cell>
        </row>
        <row r="40">
          <cell r="A40" t="str">
            <v xml:space="preserve">印尼telkomsel </v>
          </cell>
        </row>
        <row r="41">
          <cell r="A41" t="str">
            <v>数字音乐</v>
          </cell>
        </row>
        <row r="42">
          <cell r="A42" t="str">
            <v>IPTV</v>
          </cell>
        </row>
        <row r="43">
          <cell r="A43" t="str">
            <v>数字游戏</v>
          </cell>
        </row>
        <row r="44">
          <cell r="A44" t="str">
            <v>VasCloud</v>
          </cell>
        </row>
        <row r="45">
          <cell r="A45" t="str">
            <v>科威特VIVA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区"/>
      <sheetName val="填写说明"/>
      <sheetName val="基本信息选择项"/>
    </sheetNames>
    <sheetDataSet>
      <sheetData sheetId="0" refreshError="1"/>
      <sheetData sheetId="1" refreshError="1"/>
      <sheetData sheetId="2">
        <row r="2">
          <cell r="B2" t="str">
            <v>延期答复</v>
          </cell>
        </row>
        <row r="3">
          <cell r="B3" t="str">
            <v>接纳</v>
          </cell>
        </row>
        <row r="4">
          <cell r="B4" t="str">
            <v>退回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  <sheetName val="特性树对应关系"/>
      <sheetName val="SE"/>
    </sheetNames>
    <sheetDataSet>
      <sheetData sheetId="0"/>
      <sheetData sheetId="1"/>
      <sheetData sheetId="2"/>
      <sheetData sheetId="3"/>
      <sheetData sheetId="4">
        <row r="2">
          <cell r="A2" t="str">
            <v>BFM</v>
          </cell>
        </row>
        <row r="3">
          <cell r="A3" t="str">
            <v>SAG</v>
          </cell>
        </row>
        <row r="4">
          <cell r="A4" t="str">
            <v>Report</v>
          </cell>
        </row>
        <row r="5">
          <cell r="A5" t="str">
            <v>Portalone</v>
          </cell>
        </row>
        <row r="6">
          <cell r="A6" t="str">
            <v>SEE</v>
          </cell>
        </row>
        <row r="7">
          <cell r="A7" t="str">
            <v>imost</v>
          </cell>
        </row>
        <row r="8">
          <cell r="A8" t="str">
            <v>IB</v>
          </cell>
        </row>
        <row r="9">
          <cell r="A9" t="str">
            <v>BCVT</v>
          </cell>
        </row>
        <row r="10">
          <cell r="A10" t="str">
            <v>Charging</v>
          </cell>
        </row>
        <row r="11">
          <cell r="A11" t="str">
            <v>CGW</v>
          </cell>
        </row>
        <row r="12">
          <cell r="A12" t="str">
            <v>SIS</v>
          </cell>
        </row>
        <row r="13">
          <cell r="A13" t="str">
            <v>SMPA</v>
          </cell>
        </row>
        <row r="14">
          <cell r="A14" t="str">
            <v>LCAP</v>
          </cell>
        </row>
        <row r="15">
          <cell r="A15" t="str">
            <v>Payment</v>
          </cell>
        </row>
        <row r="16">
          <cell r="A16" t="str">
            <v>DLSC</v>
          </cell>
        </row>
        <row r="17">
          <cell r="A17" t="str">
            <v>Streaming</v>
          </cell>
        </row>
        <row r="18">
          <cell r="A18" t="str">
            <v>DDR</v>
          </cell>
        </row>
        <row r="19">
          <cell r="A19" t="str">
            <v>HDM</v>
          </cell>
        </row>
        <row r="20">
          <cell r="A20" t="str">
            <v>TLF_MDSP</v>
          </cell>
        </row>
        <row r="21">
          <cell r="A21" t="str">
            <v>基地MDSP</v>
          </cell>
        </row>
        <row r="22">
          <cell r="A22" t="str">
            <v>集成</v>
          </cell>
        </row>
        <row r="23">
          <cell r="A23" t="str">
            <v>资料</v>
          </cell>
        </row>
        <row r="24">
          <cell r="A24" t="str">
            <v>测试</v>
          </cell>
        </row>
        <row r="25">
          <cell r="A25" t="str">
            <v>割接</v>
          </cell>
        </row>
      </sheetData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</sheetNames>
    <sheetDataSet>
      <sheetData sheetId="0"/>
      <sheetData sheetId="1"/>
      <sheetData sheetId="2"/>
      <sheetData sheetId="3"/>
      <sheetData sheetId="4">
        <row r="2">
          <cell r="A2" t="str">
            <v>AMXHUB</v>
          </cell>
        </row>
        <row r="3">
          <cell r="A3" t="str">
            <v>SalvadorSDP</v>
          </cell>
        </row>
        <row r="4">
          <cell r="A4" t="str">
            <v>GlobalSMT</v>
          </cell>
        </row>
        <row r="5">
          <cell r="A5" t="str">
            <v>Hosting</v>
          </cell>
        </row>
        <row r="6">
          <cell r="A6" t="str">
            <v>印尼Indosat</v>
          </cell>
        </row>
        <row r="7">
          <cell r="A7" t="str">
            <v>沙特MobilyDT</v>
          </cell>
        </row>
        <row r="8">
          <cell r="A8" t="str">
            <v>MTN多国</v>
          </cell>
        </row>
        <row r="9">
          <cell r="A9" t="str">
            <v>SDP基线</v>
          </cell>
        </row>
        <row r="10">
          <cell r="A10" t="str">
            <v>肯尼亚SFC</v>
          </cell>
        </row>
        <row r="11">
          <cell r="A11" t="str">
            <v>西班牙SPOC</v>
          </cell>
        </row>
        <row r="12">
          <cell r="A12" t="str">
            <v>TLFSDP</v>
          </cell>
        </row>
        <row r="13">
          <cell r="A13" t="str">
            <v>印尼XL</v>
          </cell>
        </row>
        <row r="14">
          <cell r="A14" t="str">
            <v>阿尔及利亚SDP</v>
          </cell>
        </row>
        <row r="15">
          <cell r="A15" t="str">
            <v>埃及ET</v>
          </cell>
        </row>
        <row r="16">
          <cell r="A16" t="str">
            <v>埃及mobinil</v>
          </cell>
        </row>
        <row r="17">
          <cell r="A17" t="str">
            <v>埃塞ET</v>
          </cell>
        </row>
        <row r="18">
          <cell r="A18" t="str">
            <v>安哥拉unitel</v>
          </cell>
        </row>
        <row r="19">
          <cell r="A19" t="str">
            <v>德国O2</v>
          </cell>
        </row>
        <row r="20">
          <cell r="A20" t="str">
            <v>菲律宾CDP</v>
          </cell>
        </row>
        <row r="21">
          <cell r="A21" t="str">
            <v>菲律宾Globe</v>
          </cell>
        </row>
        <row r="22">
          <cell r="A22" t="str">
            <v>哥伦比亚SDP</v>
          </cell>
        </row>
        <row r="23">
          <cell r="A23" t="str">
            <v>马来西亚CELCOM</v>
          </cell>
        </row>
        <row r="24">
          <cell r="A24" t="str">
            <v>孟加拉Robi</v>
          </cell>
        </row>
        <row r="25">
          <cell r="A25" t="str">
            <v>墨西哥IusacellSDP</v>
          </cell>
        </row>
        <row r="26">
          <cell r="A26" t="str">
            <v>南方基地</v>
          </cell>
        </row>
        <row r="27">
          <cell r="A27" t="str">
            <v>沙特ZAIN</v>
          </cell>
        </row>
        <row r="28">
          <cell r="A28" t="str">
            <v>山东联通FBB</v>
          </cell>
        </row>
        <row r="29">
          <cell r="A29" t="str">
            <v>视频基地</v>
          </cell>
        </row>
        <row r="30">
          <cell r="A30" t="str">
            <v>泰国DTAC</v>
          </cell>
        </row>
        <row r="31">
          <cell r="A31" t="str">
            <v>天津资源池</v>
          </cell>
        </row>
        <row r="32">
          <cell r="A32" t="str">
            <v>乌克兰MTS</v>
          </cell>
        </row>
        <row r="33">
          <cell r="A33" t="str">
            <v>西班牙MVAS</v>
          </cell>
        </row>
        <row r="34">
          <cell r="A34" t="str">
            <v>伊朗三牌</v>
          </cell>
        </row>
        <row r="35">
          <cell r="A35" t="str">
            <v>移动动漫基地</v>
          </cell>
        </row>
        <row r="36">
          <cell r="A36" t="str">
            <v>移动游戏基地</v>
          </cell>
        </row>
        <row r="37">
          <cell r="A37" t="str">
            <v>移动阅读基地</v>
          </cell>
        </row>
        <row r="38">
          <cell r="A38" t="str">
            <v>智利VTR</v>
          </cell>
        </row>
        <row r="39">
          <cell r="A39" t="str">
            <v>伊拉克zain</v>
          </cell>
        </row>
        <row r="40">
          <cell r="A40" t="str">
            <v xml:space="preserve">印尼telkomsel </v>
          </cell>
        </row>
        <row r="41">
          <cell r="A41" t="str">
            <v>数字音乐</v>
          </cell>
        </row>
        <row r="42">
          <cell r="A42" t="str">
            <v>IPTV</v>
          </cell>
        </row>
        <row r="43">
          <cell r="A43" t="str">
            <v>数字游戏</v>
          </cell>
        </row>
        <row r="44">
          <cell r="A44" t="str">
            <v>VasCloud</v>
          </cell>
        </row>
        <row r="45">
          <cell r="A45" t="str">
            <v>科威特VIVA</v>
          </cell>
        </row>
        <row r="46">
          <cell r="A46" t="str">
            <v>南非vodacom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  <sheetName val="特性树对应关系"/>
      <sheetName val="SE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str">
            <v>BFM</v>
          </cell>
          <cell r="C2" t="str">
            <v>ligen 00255608</v>
          </cell>
          <cell r="D2" t="str">
            <v>MTN多国</v>
          </cell>
        </row>
        <row r="3">
          <cell r="A3" t="str">
            <v>SAG</v>
          </cell>
          <cell r="C3" t="str">
            <v>wuganghao 00201831</v>
          </cell>
          <cell r="D3" t="str">
            <v>印尼XL</v>
          </cell>
        </row>
        <row r="4">
          <cell r="A4" t="str">
            <v>Report</v>
          </cell>
          <cell r="C4" t="str">
            <v>yuyinshan 00184105</v>
          </cell>
          <cell r="D4" t="str">
            <v>肯尼亚SFC</v>
          </cell>
        </row>
        <row r="5">
          <cell r="A5" t="str">
            <v>Portalone</v>
          </cell>
          <cell r="C5" t="str">
            <v>yangpeng 00255800</v>
          </cell>
          <cell r="D5" t="str">
            <v>菲律宾Globe</v>
          </cell>
        </row>
        <row r="6">
          <cell r="A6" t="str">
            <v>SEE</v>
          </cell>
          <cell r="C6" t="str">
            <v>luyanchao 00227366</v>
          </cell>
          <cell r="D6" t="str">
            <v>菲律宾AGW</v>
          </cell>
        </row>
        <row r="7">
          <cell r="A7" t="str">
            <v>imost</v>
          </cell>
          <cell r="C7" t="str">
            <v>gujiang 00341872</v>
          </cell>
          <cell r="D7" t="str">
            <v>埃及mobinil</v>
          </cell>
        </row>
        <row r="8">
          <cell r="A8" t="str">
            <v>IB</v>
          </cell>
          <cell r="C8" t="str">
            <v>wuyameng 00190281</v>
          </cell>
          <cell r="D8" t="str">
            <v>科威特VIVA</v>
          </cell>
        </row>
        <row r="9">
          <cell r="A9" t="str">
            <v>BCVT</v>
          </cell>
          <cell r="C9" t="str">
            <v>guoling 00239274</v>
          </cell>
          <cell r="D9" t="str">
            <v>印尼Indosat</v>
          </cell>
        </row>
        <row r="10">
          <cell r="A10" t="str">
            <v>Charging</v>
          </cell>
          <cell r="C10" t="str">
            <v>zhuxiaoqi 00181750</v>
          </cell>
          <cell r="D10" t="str">
            <v>印尼telkomsel</v>
          </cell>
        </row>
        <row r="11">
          <cell r="A11" t="str">
            <v>CGW</v>
          </cell>
          <cell r="C11" t="str">
            <v>hangpeipei KF48263</v>
          </cell>
          <cell r="D11" t="str">
            <v>泰国DTAC</v>
          </cell>
        </row>
        <row r="12">
          <cell r="A12" t="str">
            <v>SIS</v>
          </cell>
          <cell r="C12" t="str">
            <v>chenguangyu 00300693</v>
          </cell>
          <cell r="D12" t="str">
            <v>乌克兰MTS</v>
          </cell>
        </row>
        <row r="13">
          <cell r="A13" t="str">
            <v>SMPA</v>
          </cell>
          <cell r="C13" t="str">
            <v>sunyi 00280731</v>
          </cell>
          <cell r="D13" t="str">
            <v>安哥拉unitel</v>
          </cell>
        </row>
        <row r="14">
          <cell r="A14" t="str">
            <v>LCAP</v>
          </cell>
          <cell r="C14" t="str">
            <v>zhouyumei KF64487</v>
          </cell>
          <cell r="D14" t="str">
            <v>埃塞ET</v>
          </cell>
        </row>
        <row r="15">
          <cell r="A15" t="str">
            <v>Payment</v>
          </cell>
          <cell r="C15" t="str">
            <v>Ramesh Chandra Somayaji D 71214</v>
          </cell>
          <cell r="D15" t="str">
            <v>孟加拉Robi</v>
          </cell>
        </row>
        <row r="16">
          <cell r="A16" t="str">
            <v>DLSC</v>
          </cell>
          <cell r="C16" t="str">
            <v>chehua 00188837</v>
          </cell>
          <cell r="D16" t="str">
            <v>埃及ET</v>
          </cell>
        </row>
        <row r="17">
          <cell r="A17" t="str">
            <v>Streaming</v>
          </cell>
          <cell r="C17" t="str">
            <v>zhaoxin 00195042</v>
          </cell>
          <cell r="D17" t="str">
            <v>沙特MobilyDT</v>
          </cell>
        </row>
        <row r="18">
          <cell r="A18" t="str">
            <v>DDR</v>
          </cell>
          <cell r="C18" t="str">
            <v>qiutao 00255622</v>
          </cell>
          <cell r="D18" t="str">
            <v>菲律宾CDP</v>
          </cell>
        </row>
        <row r="19">
          <cell r="A19" t="str">
            <v>HDM</v>
          </cell>
          <cell r="C19" t="str">
            <v>luduojun 00134868</v>
          </cell>
          <cell r="D19" t="str">
            <v>伊拉克ZAIN</v>
          </cell>
        </row>
        <row r="20">
          <cell r="A20" t="str">
            <v>TLF_MDSP</v>
          </cell>
          <cell r="C20" t="str">
            <v>wangxing WX220268</v>
          </cell>
          <cell r="D20" t="str">
            <v>沙特ZAIN</v>
          </cell>
        </row>
        <row r="21">
          <cell r="A21" t="str">
            <v>基地MDSP</v>
          </cell>
          <cell r="C21" t="str">
            <v>fengchao WX274536</v>
          </cell>
          <cell r="D21" t="str">
            <v>阿尔及利亚SDP</v>
          </cell>
        </row>
        <row r="22">
          <cell r="A22" t="str">
            <v>集成</v>
          </cell>
          <cell r="C22" t="str">
            <v>zhangjian 00200084</v>
          </cell>
          <cell r="D22" t="str">
            <v>MTN伊朗</v>
          </cell>
        </row>
        <row r="23">
          <cell r="A23" t="str">
            <v>资料</v>
          </cell>
          <cell r="C23" t="str">
            <v>Lu Hui 00285857</v>
          </cell>
          <cell r="D23" t="str">
            <v>AMXHUB</v>
          </cell>
        </row>
        <row r="24">
          <cell r="A24" t="str">
            <v>测试</v>
          </cell>
          <cell r="C24" t="str">
            <v>xuyingming 00138424</v>
          </cell>
          <cell r="D24" t="str">
            <v>GlobalSMT</v>
          </cell>
        </row>
        <row r="25">
          <cell r="A25" t="str">
            <v>割接</v>
          </cell>
          <cell r="C25" t="str">
            <v>yejingkun 00196065</v>
          </cell>
          <cell r="D25" t="str">
            <v>TLFSDP</v>
          </cell>
        </row>
        <row r="26">
          <cell r="C26" t="str">
            <v>chenyouhan 00330037</v>
          </cell>
          <cell r="D26" t="str">
            <v>哥伦比亚SDP</v>
          </cell>
        </row>
        <row r="27">
          <cell r="C27" t="str">
            <v>hanzhengjing 00275561</v>
          </cell>
          <cell r="D27" t="str">
            <v>智利VTR</v>
          </cell>
        </row>
        <row r="28">
          <cell r="C28" t="str">
            <v>lishunqing 00148930</v>
          </cell>
          <cell r="D28" t="str">
            <v>游戏基地</v>
          </cell>
        </row>
        <row r="29">
          <cell r="C29" t="str">
            <v>taolei 00318699</v>
          </cell>
          <cell r="D29" t="str">
            <v>动漫基地</v>
          </cell>
        </row>
        <row r="30">
          <cell r="C30" t="str">
            <v>wangruixue WX157737</v>
          </cell>
          <cell r="D30" t="str">
            <v>Hosting</v>
          </cell>
        </row>
        <row r="31">
          <cell r="D31" t="str">
            <v>SDP基线</v>
          </cell>
        </row>
        <row r="32">
          <cell r="D32" t="str">
            <v>VAS_Cloud</v>
          </cell>
        </row>
        <row r="33">
          <cell r="D33" t="str">
            <v>德国O2</v>
          </cell>
        </row>
        <row r="34">
          <cell r="D34" t="str">
            <v>IPTV</v>
          </cell>
        </row>
        <row r="35">
          <cell r="D35" t="str">
            <v>数字游戏</v>
          </cell>
        </row>
        <row r="36">
          <cell r="D36" t="str">
            <v>数字音乐</v>
          </cell>
        </row>
      </sheetData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  <sheetName val="特性树对应关系"/>
      <sheetName val="SE"/>
    </sheetNames>
    <sheetDataSet>
      <sheetData sheetId="0"/>
      <sheetData sheetId="1"/>
      <sheetData sheetId="2"/>
      <sheetData sheetId="3"/>
      <sheetData sheetId="4">
        <row r="2">
          <cell r="A2" t="str">
            <v>BFM</v>
          </cell>
        </row>
        <row r="3">
          <cell r="A3" t="str">
            <v>SAG</v>
          </cell>
        </row>
        <row r="4">
          <cell r="A4" t="str">
            <v>Report</v>
          </cell>
        </row>
        <row r="5">
          <cell r="A5" t="str">
            <v>Portalone</v>
          </cell>
        </row>
        <row r="6">
          <cell r="A6" t="str">
            <v>SEE</v>
          </cell>
        </row>
        <row r="7">
          <cell r="A7" t="str">
            <v>imost</v>
          </cell>
        </row>
        <row r="8">
          <cell r="A8" t="str">
            <v>IB</v>
          </cell>
        </row>
        <row r="9">
          <cell r="A9" t="str">
            <v>BCVT</v>
          </cell>
        </row>
        <row r="10">
          <cell r="A10" t="str">
            <v>Charging</v>
          </cell>
        </row>
        <row r="11">
          <cell r="A11" t="str">
            <v>CGW</v>
          </cell>
        </row>
        <row r="12">
          <cell r="A12" t="str">
            <v>SIS</v>
          </cell>
        </row>
        <row r="13">
          <cell r="A13" t="str">
            <v>SMPA</v>
          </cell>
        </row>
        <row r="14">
          <cell r="A14" t="str">
            <v>LCAP</v>
          </cell>
        </row>
        <row r="15">
          <cell r="A15" t="str">
            <v>Payment</v>
          </cell>
        </row>
        <row r="16">
          <cell r="A16" t="str">
            <v>DLSC</v>
          </cell>
        </row>
        <row r="17">
          <cell r="A17" t="str">
            <v>Streaming</v>
          </cell>
        </row>
        <row r="18">
          <cell r="A18" t="str">
            <v>DDR</v>
          </cell>
        </row>
        <row r="19">
          <cell r="A19" t="str">
            <v>HDM</v>
          </cell>
        </row>
        <row r="20">
          <cell r="A20" t="str">
            <v>TLF_MDSP</v>
          </cell>
        </row>
        <row r="21">
          <cell r="A21" t="str">
            <v>基地MDSP</v>
          </cell>
        </row>
        <row r="22">
          <cell r="A22" t="str">
            <v>集成</v>
          </cell>
        </row>
        <row r="23">
          <cell r="A23" t="str">
            <v>资料</v>
          </cell>
        </row>
        <row r="24">
          <cell r="A24" t="str">
            <v>测试</v>
          </cell>
        </row>
        <row r="25">
          <cell r="A25" t="str">
            <v>割接</v>
          </cell>
        </row>
      </sheetData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D2" t="str">
            <v>xuyingming 00138424</v>
          </cell>
        </row>
        <row r="3">
          <cell r="D3" t="str">
            <v>qiutao 00255622</v>
          </cell>
        </row>
        <row r="4">
          <cell r="D4" t="str">
            <v>luduojun 00134868</v>
          </cell>
        </row>
        <row r="5">
          <cell r="D5" t="str">
            <v>lishunqing 00148930</v>
          </cell>
        </row>
        <row r="6">
          <cell r="D6" t="str">
            <v>Lu Hui 00285857</v>
          </cell>
        </row>
        <row r="7">
          <cell r="D7" t="str">
            <v>zhaoxin 00195042</v>
          </cell>
        </row>
        <row r="8">
          <cell r="D8" t="str">
            <v>guoling 00239274</v>
          </cell>
        </row>
        <row r="9">
          <cell r="D9" t="str">
            <v>Ramesh Chandra Somayaji D 71214</v>
          </cell>
        </row>
        <row r="10">
          <cell r="D10" t="str">
            <v>yejingkun 00196065</v>
          </cell>
        </row>
        <row r="11">
          <cell r="D11" t="str">
            <v>sunyi 00280731</v>
          </cell>
        </row>
        <row r="12">
          <cell r="D12" t="str">
            <v>chenyouhan 00330037</v>
          </cell>
        </row>
        <row r="13">
          <cell r="D13" t="str">
            <v>chenjing KF51211</v>
          </cell>
        </row>
        <row r="14">
          <cell r="D14" t="str">
            <v>li xiaoqiang WX68861</v>
          </cell>
        </row>
        <row r="15">
          <cell r="D15" t="str">
            <v>fengchao WX274536</v>
          </cell>
        </row>
        <row r="16">
          <cell r="D16" t="str">
            <v>yuyinshan 00184105</v>
          </cell>
        </row>
        <row r="17">
          <cell r="D17" t="str">
            <v>chenlina WX17975</v>
          </cell>
        </row>
        <row r="18">
          <cell r="D18" t="str">
            <v>zhouyumei KF64487</v>
          </cell>
        </row>
        <row r="19">
          <cell r="D19" t="str">
            <v>luzhimin 00200917</v>
          </cell>
        </row>
        <row r="20">
          <cell r="D20" t="str">
            <v>puchengjie 00222306</v>
          </cell>
        </row>
        <row r="21">
          <cell r="D21" t="str">
            <v>yangwang 00180500</v>
          </cell>
        </row>
        <row r="22">
          <cell r="D22" t="str">
            <v>chenguangyu 00300693</v>
          </cell>
        </row>
        <row r="23">
          <cell r="D23" t="str">
            <v>luzhimin 200917</v>
          </cell>
        </row>
        <row r="24">
          <cell r="D24" t="str">
            <v>chengyuxia 00246463</v>
          </cell>
        </row>
        <row r="25">
          <cell r="D25" t="str">
            <v>yanronglong 00191601</v>
          </cell>
        </row>
        <row r="26">
          <cell r="D26" t="str">
            <v>luyao 00192113</v>
          </cell>
        </row>
        <row r="27">
          <cell r="D27" t="str">
            <v>yinjiajun 00114581</v>
          </cell>
        </row>
        <row r="28">
          <cell r="D28" t="str">
            <v>dingweiying 00227343</v>
          </cell>
        </row>
        <row r="29">
          <cell r="D29" t="str">
            <v>wanglu 141035</v>
          </cell>
        </row>
        <row r="30">
          <cell r="D30" t="str">
            <v>xiaoshengrui 00222127</v>
          </cell>
        </row>
        <row r="31">
          <cell r="D31" t="str">
            <v>lvjuntao 00274123</v>
          </cell>
        </row>
        <row r="32">
          <cell r="D32" t="str">
            <v>jijianzhong 00168302</v>
          </cell>
        </row>
        <row r="33">
          <cell r="D33" t="str">
            <v>caojiesheng 00265108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  <sheetName val="特性树对应关系"/>
      <sheetName val="SE"/>
      <sheetName val="Sheet1"/>
    </sheetNames>
    <sheetDataSet>
      <sheetData sheetId="0"/>
      <sheetData sheetId="1"/>
      <sheetData sheetId="2"/>
      <sheetData sheetId="3"/>
      <sheetData sheetId="4">
        <row r="2">
          <cell r="D2" t="str">
            <v>MTN多国</v>
          </cell>
        </row>
        <row r="3">
          <cell r="D3" t="str">
            <v>印尼XL</v>
          </cell>
        </row>
        <row r="4">
          <cell r="D4" t="str">
            <v>肯尼亚SFC</v>
          </cell>
        </row>
        <row r="5">
          <cell r="D5" t="str">
            <v>菲律宾Globe</v>
          </cell>
        </row>
        <row r="6">
          <cell r="D6" t="str">
            <v>菲律宾AGW</v>
          </cell>
        </row>
        <row r="7">
          <cell r="D7" t="str">
            <v>埃及mobinil</v>
          </cell>
        </row>
        <row r="8">
          <cell r="D8" t="str">
            <v>科威特VIVA</v>
          </cell>
        </row>
        <row r="9">
          <cell r="D9" t="str">
            <v>印尼Indosat</v>
          </cell>
        </row>
        <row r="10">
          <cell r="D10" t="str">
            <v>印尼telkomsel</v>
          </cell>
        </row>
        <row r="11">
          <cell r="D11" t="str">
            <v>泰国DTAC</v>
          </cell>
        </row>
        <row r="12">
          <cell r="D12" t="str">
            <v>乌克兰MTS</v>
          </cell>
        </row>
        <row r="13">
          <cell r="D13" t="str">
            <v>安哥拉unitel</v>
          </cell>
        </row>
        <row r="14">
          <cell r="D14" t="str">
            <v>埃塞ET</v>
          </cell>
        </row>
        <row r="15">
          <cell r="D15" t="str">
            <v>孟加拉Robi</v>
          </cell>
        </row>
        <row r="16">
          <cell r="D16" t="str">
            <v>埃及ET</v>
          </cell>
        </row>
        <row r="17">
          <cell r="D17" t="str">
            <v>沙特MobilyDT</v>
          </cell>
        </row>
        <row r="18">
          <cell r="D18" t="str">
            <v>菲律宾CDP</v>
          </cell>
        </row>
        <row r="19">
          <cell r="D19" t="str">
            <v>伊拉克ZAIN</v>
          </cell>
        </row>
        <row r="20">
          <cell r="D20" t="str">
            <v>沙特ZAIN</v>
          </cell>
        </row>
        <row r="21">
          <cell r="D21" t="str">
            <v>阿尔及利亚SDP</v>
          </cell>
        </row>
        <row r="22">
          <cell r="D22" t="str">
            <v>MTN伊朗</v>
          </cell>
        </row>
        <row r="23">
          <cell r="D23" t="str">
            <v>AMXHUB</v>
          </cell>
        </row>
        <row r="24">
          <cell r="D24" t="str">
            <v>GlobalSMT</v>
          </cell>
        </row>
        <row r="25">
          <cell r="D25" t="str">
            <v>TLFSDP</v>
          </cell>
        </row>
        <row r="26">
          <cell r="D26" t="str">
            <v>哥伦比亚SDP</v>
          </cell>
        </row>
        <row r="27">
          <cell r="D27" t="str">
            <v>智利VTR</v>
          </cell>
        </row>
        <row r="28">
          <cell r="D28" t="str">
            <v>游戏基地</v>
          </cell>
        </row>
        <row r="29">
          <cell r="D29" t="str">
            <v>动漫基地</v>
          </cell>
        </row>
        <row r="30">
          <cell r="D30" t="str">
            <v>Hosting</v>
          </cell>
        </row>
        <row r="31">
          <cell r="D31" t="str">
            <v>SDP基线</v>
          </cell>
        </row>
        <row r="32">
          <cell r="D32" t="str">
            <v>VasCloud</v>
          </cell>
        </row>
        <row r="33">
          <cell r="D33" t="str">
            <v>德国O2</v>
          </cell>
        </row>
        <row r="34">
          <cell r="D34" t="str">
            <v>IPTV</v>
          </cell>
        </row>
        <row r="35">
          <cell r="D35" t="str">
            <v>数字游戏</v>
          </cell>
        </row>
        <row r="36">
          <cell r="D36" t="str">
            <v>数字音乐</v>
          </cell>
        </row>
        <row r="37">
          <cell r="D37" t="str">
            <v>苏丹ZAIN</v>
          </cell>
        </row>
        <row r="38">
          <cell r="D38" t="str">
            <v>阿根廷CDP</v>
          </cell>
        </row>
        <row r="39">
          <cell r="D39" t="str">
            <v>菲律宾LIS</v>
          </cell>
        </row>
        <row r="40">
          <cell r="D40" t="str">
            <v>秘鲁CDP</v>
          </cell>
        </row>
        <row r="41">
          <cell r="D41" t="str">
            <v>巴林VIVA</v>
          </cell>
        </row>
        <row r="42">
          <cell r="D42" t="str">
            <v>伊朗MTN手机报</v>
          </cell>
        </row>
        <row r="43">
          <cell r="D43" t="str">
            <v>尼日利亚Glo</v>
          </cell>
        </row>
      </sheetData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  <sheetName val="特性树对应关系"/>
      <sheetName val="SE"/>
    </sheetNames>
    <sheetDataSet>
      <sheetData sheetId="0"/>
      <sheetData sheetId="1"/>
      <sheetData sheetId="2"/>
      <sheetData sheetId="3"/>
      <sheetData sheetId="4">
        <row r="2">
          <cell r="A2" t="str">
            <v>BFM</v>
          </cell>
          <cell r="C2" t="str">
            <v>ligen 00255608</v>
          </cell>
        </row>
        <row r="3">
          <cell r="A3" t="str">
            <v>SAG</v>
          </cell>
          <cell r="C3" t="str">
            <v>wuganghao 00201831</v>
          </cell>
        </row>
        <row r="4">
          <cell r="A4" t="str">
            <v>Report</v>
          </cell>
          <cell r="C4" t="str">
            <v>yuyinshan 00184105</v>
          </cell>
        </row>
        <row r="5">
          <cell r="A5" t="str">
            <v>Portalone</v>
          </cell>
          <cell r="C5" t="str">
            <v>yangpeng 00255800</v>
          </cell>
        </row>
        <row r="6">
          <cell r="A6" t="str">
            <v>SEE</v>
          </cell>
          <cell r="C6" t="str">
            <v>luyanchao 00227366</v>
          </cell>
        </row>
        <row r="7">
          <cell r="A7" t="str">
            <v>imost</v>
          </cell>
          <cell r="C7" t="str">
            <v>gujiang 00341872</v>
          </cell>
        </row>
        <row r="8">
          <cell r="A8" t="str">
            <v>IB</v>
          </cell>
          <cell r="C8" t="str">
            <v>wuyameng 00190281</v>
          </cell>
        </row>
        <row r="9">
          <cell r="A9" t="str">
            <v>BCVT</v>
          </cell>
          <cell r="C9" t="str">
            <v>guoling 00239274</v>
          </cell>
        </row>
        <row r="10">
          <cell r="A10" t="str">
            <v>Charging</v>
          </cell>
          <cell r="C10" t="str">
            <v>zhuxiaoqi 00181750</v>
          </cell>
        </row>
        <row r="11">
          <cell r="A11" t="str">
            <v>CGW</v>
          </cell>
          <cell r="C11" t="str">
            <v>hangpeipei KF48263</v>
          </cell>
        </row>
        <row r="12">
          <cell r="A12" t="str">
            <v>SIS</v>
          </cell>
          <cell r="C12" t="str">
            <v>chenguangyu 00300693</v>
          </cell>
        </row>
        <row r="13">
          <cell r="A13" t="str">
            <v>SMPA</v>
          </cell>
          <cell r="C13" t="str">
            <v>sunyi 00280731</v>
          </cell>
        </row>
        <row r="14">
          <cell r="A14" t="str">
            <v>LCAP</v>
          </cell>
          <cell r="C14" t="str">
            <v>zhouyumei KF64487</v>
          </cell>
        </row>
        <row r="15">
          <cell r="A15" t="str">
            <v>Payment</v>
          </cell>
          <cell r="C15" t="str">
            <v>Ramesh Chandra Somayaji D 71214</v>
          </cell>
        </row>
        <row r="16">
          <cell r="A16" t="str">
            <v>DLSC</v>
          </cell>
          <cell r="C16" t="str">
            <v>chehua 00188837</v>
          </cell>
        </row>
        <row r="17">
          <cell r="A17" t="str">
            <v>Streaming</v>
          </cell>
          <cell r="C17" t="str">
            <v>zhaoxin 00195042</v>
          </cell>
        </row>
        <row r="18">
          <cell r="A18" t="str">
            <v>DDR</v>
          </cell>
          <cell r="C18" t="str">
            <v>qiutao 00255622</v>
          </cell>
        </row>
        <row r="19">
          <cell r="A19" t="str">
            <v>HDM</v>
          </cell>
          <cell r="C19" t="str">
            <v>luduojun 00134868</v>
          </cell>
        </row>
        <row r="20">
          <cell r="A20" t="str">
            <v>TLF_MDSP</v>
          </cell>
          <cell r="C20" t="str">
            <v>wangxing WX220268</v>
          </cell>
        </row>
        <row r="21">
          <cell r="A21" t="str">
            <v>基地MDSP</v>
          </cell>
          <cell r="C21" t="str">
            <v>fengchao WX274536</v>
          </cell>
        </row>
        <row r="22">
          <cell r="A22" t="str">
            <v>集成</v>
          </cell>
          <cell r="C22" t="str">
            <v>zhangjian 00200084</v>
          </cell>
        </row>
        <row r="23">
          <cell r="A23" t="str">
            <v>资料</v>
          </cell>
          <cell r="C23" t="str">
            <v>Lu Hui 00285857</v>
          </cell>
        </row>
        <row r="24">
          <cell r="A24" t="str">
            <v>测试</v>
          </cell>
          <cell r="C24" t="str">
            <v>xuyingming 00138424</v>
          </cell>
        </row>
        <row r="25">
          <cell r="A25" t="str">
            <v>割接</v>
          </cell>
          <cell r="C25" t="str">
            <v>yejingkun 00196065</v>
          </cell>
        </row>
        <row r="26">
          <cell r="C26" t="str">
            <v>chenyouhan 00330037</v>
          </cell>
        </row>
        <row r="27">
          <cell r="C27" t="str">
            <v>hanzhengjing 00275561</v>
          </cell>
        </row>
        <row r="28">
          <cell r="C28" t="str">
            <v>lishunqing 00148930</v>
          </cell>
        </row>
        <row r="29">
          <cell r="C29" t="str">
            <v>taolei 00318699</v>
          </cell>
        </row>
        <row r="30">
          <cell r="C30" t="str">
            <v>wangruixue WX157737</v>
          </cell>
        </row>
      </sheetData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</sheetNames>
    <sheetDataSet>
      <sheetData sheetId="0"/>
      <sheetData sheetId="1"/>
      <sheetData sheetId="2"/>
      <sheetData sheetId="3"/>
      <sheetData sheetId="4">
        <row r="2">
          <cell r="C2" t="str">
            <v>luzhimin 00200917</v>
          </cell>
        </row>
        <row r="3">
          <cell r="C3" t="str">
            <v>wanghui 00265912</v>
          </cell>
        </row>
        <row r="4">
          <cell r="C4" t="str">
            <v>guoqiang 00105848</v>
          </cell>
        </row>
        <row r="5">
          <cell r="C5" t="str">
            <v>zhangxinfeng 00301613</v>
          </cell>
        </row>
        <row r="6">
          <cell r="C6" t="str">
            <v>luduojun 00134868</v>
          </cell>
        </row>
        <row r="7">
          <cell r="C7" t="str">
            <v>zhangyi 00167994</v>
          </cell>
        </row>
        <row r="8">
          <cell r="C8" t="str">
            <v>chenjianmin 00210483</v>
          </cell>
        </row>
        <row r="9">
          <cell r="C9" t="str">
            <v>yangjian 00161823</v>
          </cell>
        </row>
        <row r="10">
          <cell r="C10" t="str">
            <v>xiaojianfeng 00132828</v>
          </cell>
        </row>
        <row r="11">
          <cell r="C11" t="str">
            <v>penglei 00297096</v>
          </cell>
        </row>
        <row r="12">
          <cell r="C12" t="str">
            <v>guojianfeng 00266716</v>
          </cell>
        </row>
        <row r="13">
          <cell r="C13" t="str">
            <v>miaohongjun 00255633</v>
          </cell>
        </row>
        <row r="14">
          <cell r="C14" t="str">
            <v>fanfeng 00212027</v>
          </cell>
        </row>
        <row r="15">
          <cell r="C15" t="str">
            <v>zhouzhilin 00139584</v>
          </cell>
        </row>
        <row r="16">
          <cell r="C16" t="str">
            <v>xuyan 00303073</v>
          </cell>
        </row>
        <row r="17">
          <cell r="C17" t="str">
            <v>huangyan 00151385</v>
          </cell>
        </row>
        <row r="18">
          <cell r="C18" t="str">
            <v>Lu Hui 00285857</v>
          </cell>
        </row>
        <row r="19">
          <cell r="C19" t="str">
            <v>qiutao 00255622</v>
          </cell>
        </row>
        <row r="20">
          <cell r="C20" t="str">
            <v>luyao 00192113</v>
          </cell>
        </row>
        <row r="21">
          <cell r="C21" t="str">
            <v>jijianzhong 00168302</v>
          </cell>
        </row>
        <row r="22">
          <cell r="C22" t="str">
            <v>caojiesheng 00265108</v>
          </cell>
        </row>
        <row r="23">
          <cell r="C23" t="str">
            <v>nilan 00149887</v>
          </cell>
        </row>
        <row r="24">
          <cell r="C24" t="str">
            <v>xiewanzhong 00255736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</sheetNames>
    <sheetDataSet>
      <sheetData sheetId="0"/>
      <sheetData sheetId="1"/>
      <sheetData sheetId="2"/>
      <sheetData sheetId="3"/>
      <sheetData sheetId="4">
        <row r="2">
          <cell r="D2" t="str">
            <v>xuyingming 00138424</v>
          </cell>
        </row>
        <row r="3">
          <cell r="D3" t="str">
            <v>qiutao 00255622</v>
          </cell>
        </row>
        <row r="4">
          <cell r="D4" t="str">
            <v>luduojun 00134868</v>
          </cell>
        </row>
        <row r="5">
          <cell r="D5" t="str">
            <v>lishunqing 00148930</v>
          </cell>
        </row>
        <row r="6">
          <cell r="D6" t="str">
            <v>Lu Hui 00285857</v>
          </cell>
        </row>
        <row r="7">
          <cell r="D7" t="str">
            <v>zhaoxin 00195042</v>
          </cell>
        </row>
        <row r="8">
          <cell r="D8" t="str">
            <v>guoling 00239274</v>
          </cell>
        </row>
        <row r="9">
          <cell r="D9" t="str">
            <v>Ramesh Chandra Somayaji D 71214</v>
          </cell>
        </row>
        <row r="10">
          <cell r="D10" t="str">
            <v>yejingkun 00196065</v>
          </cell>
        </row>
        <row r="11">
          <cell r="D11" t="str">
            <v>sunyi 00280731</v>
          </cell>
        </row>
        <row r="12">
          <cell r="D12" t="str">
            <v>chenyouhan 00330037</v>
          </cell>
        </row>
        <row r="13">
          <cell r="D13" t="str">
            <v>chenjing KF51211</v>
          </cell>
        </row>
        <row r="14">
          <cell r="D14" t="str">
            <v>li xiaoqiang WX68861</v>
          </cell>
        </row>
        <row r="15">
          <cell r="D15" t="str">
            <v>fengchao WX274536</v>
          </cell>
        </row>
        <row r="16">
          <cell r="D16" t="str">
            <v>yuyinshan 00184105</v>
          </cell>
        </row>
        <row r="17">
          <cell r="D17" t="str">
            <v>chenlina WX17975</v>
          </cell>
        </row>
        <row r="18">
          <cell r="D18" t="str">
            <v>zhouyumei KF64487</v>
          </cell>
        </row>
        <row r="19">
          <cell r="D19" t="str">
            <v>luzhimin 00200917</v>
          </cell>
        </row>
        <row r="20">
          <cell r="D20" t="str">
            <v>puchengjie 00222306</v>
          </cell>
        </row>
        <row r="21">
          <cell r="D21" t="str">
            <v>yangwang 00180500</v>
          </cell>
        </row>
        <row r="22">
          <cell r="D22" t="str">
            <v>chenguangyu 00300693</v>
          </cell>
        </row>
        <row r="23">
          <cell r="D23" t="str">
            <v>luzhimin 200917</v>
          </cell>
        </row>
        <row r="24">
          <cell r="D24" t="str">
            <v>chengyuxia 00246463</v>
          </cell>
        </row>
        <row r="25">
          <cell r="D25" t="str">
            <v>yanronglong 00191601</v>
          </cell>
        </row>
        <row r="26">
          <cell r="D26" t="str">
            <v>luyao 00192113</v>
          </cell>
        </row>
        <row r="27">
          <cell r="D27" t="str">
            <v>yinjiajun 00114581</v>
          </cell>
        </row>
        <row r="28">
          <cell r="D28" t="str">
            <v>dingweiying 00227343</v>
          </cell>
        </row>
        <row r="29">
          <cell r="D29" t="str">
            <v>wanglu 141035</v>
          </cell>
        </row>
        <row r="30">
          <cell r="D30" t="str">
            <v>xiaoshengrui 00222127</v>
          </cell>
        </row>
        <row r="31">
          <cell r="D31" t="str">
            <v>lvjuntao 00274123</v>
          </cell>
        </row>
        <row r="32">
          <cell r="D32" t="str">
            <v>jijianzhong 00168302</v>
          </cell>
        </row>
        <row r="33">
          <cell r="D33" t="str">
            <v>caojiesheng 00265108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议题收集模板"/>
      <sheetName val="常量值"/>
    </sheetNames>
    <sheetDataSet>
      <sheetData sheetId="0"/>
      <sheetData sheetId="1"/>
      <sheetData sheetId="2"/>
      <sheetData sheetId="3">
        <row r="2">
          <cell r="C2" t="str">
            <v>邱涛 00255622</v>
          </cell>
        </row>
        <row r="3">
          <cell r="C3" t="str">
            <v>瞿成兵 00381064</v>
          </cell>
        </row>
        <row r="4">
          <cell r="C4" t="str">
            <v>曹洁生 00265108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Quchengbing" refreshedDate="42922.727740625" createdVersion="5" refreshedVersion="5" minRefreshableVersion="3" recordCount="29">
  <cacheSource type="worksheet">
    <worksheetSource ref="K1:T1048576" sheet="全部RM"/>
  </cacheSource>
  <cacheFields count="9">
    <cacheField name="工作量(人天)*" numFmtId="0">
      <sharedItems containsBlank="1" containsMixedTypes="1" containsNumber="1" containsInteger="1" minValue="0" maxValue="60"/>
    </cacheField>
    <cacheField name="RAT结论" numFmtId="184">
      <sharedItems containsBlank="1"/>
    </cacheField>
    <cacheField name="备注" numFmtId="49">
      <sharedItems containsBlank="1"/>
    </cacheField>
    <cacheField name="需求类型（细化）" numFmtId="49">
      <sharedItems containsBlank="1"/>
    </cacheField>
    <cacheField name="数据源具备时间" numFmtId="0">
      <sharedItems containsBlank="1"/>
    </cacheField>
    <cacheField name="数据接口确定时间" numFmtId="182">
      <sharedItems containsBlank="1"/>
    </cacheField>
    <cacheField name="One Data迁移满足度" numFmtId="182">
      <sharedItems containsBlank="1"/>
    </cacheField>
    <cacheField name="是否满足开发入口条件 " numFmtId="0">
      <sharedItems containsBlank="1"/>
    </cacheField>
    <cacheField name="AHB计划安排" numFmtId="183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Quchengbing" refreshedDate="42922.728782523147" createdVersion="5" refreshedVersion="5" minRefreshableVersion="3" recordCount="29">
  <cacheSource type="worksheet">
    <worksheetSource ref="I1:T1048576" sheet="全部RM"/>
  </cacheSource>
  <cacheFields count="11">
    <cacheField name="需求类型*" numFmtId="0">
      <sharedItems containsBlank="1" count="4">
        <s v="功能 Function"/>
        <s v="内部优化"/>
        <s v="功能Function"/>
        <m/>
      </sharedItems>
    </cacheField>
    <cacheField name="产业" numFmtId="0">
      <sharedItems containsBlank="1" count="3">
        <s v="游戏"/>
        <s v="视频"/>
        <m/>
      </sharedItems>
    </cacheField>
    <cacheField name="工作量(人天)*" numFmtId="0">
      <sharedItems containsBlank="1" containsMixedTypes="1" containsNumber="1" containsInteger="1" minValue="0" maxValue="60"/>
    </cacheField>
    <cacheField name="RAT结论" numFmtId="184">
      <sharedItems containsBlank="1"/>
    </cacheField>
    <cacheField name="备注" numFmtId="49">
      <sharedItems containsBlank="1"/>
    </cacheField>
    <cacheField name="需求类型（细化）" numFmtId="49">
      <sharedItems containsBlank="1"/>
    </cacheField>
    <cacheField name="数据源具备时间" numFmtId="0">
      <sharedItems containsBlank="1"/>
    </cacheField>
    <cacheField name="数据接口确定时间" numFmtId="182">
      <sharedItems containsBlank="1"/>
    </cacheField>
    <cacheField name="One Data迁移满足度" numFmtId="182">
      <sharedItems containsBlank="1"/>
    </cacheField>
    <cacheField name="是否满足开发入口条件 " numFmtId="0">
      <sharedItems containsBlank="1"/>
    </cacheField>
    <cacheField name="AHB计划安排" numFmtId="183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n v="6"/>
    <s v="02 接纳|组织方案设计"/>
    <m/>
    <s v="正常需求"/>
    <s v="OK"/>
    <s v="OK"/>
    <s v="免"/>
    <s v="是"/>
    <s v="201706H1"/>
  </r>
  <r>
    <n v="2"/>
    <s v="02 接纳|组织方案设计"/>
    <m/>
    <s v="正常需求"/>
    <s v="OK"/>
    <s v="OK"/>
    <s v="免"/>
    <m/>
    <s v="201706H1"/>
  </r>
  <r>
    <s v="6"/>
    <s v="02 接纳|组织方案设计"/>
    <m/>
    <s v="正常需求"/>
    <s v="OK"/>
    <s v="OK"/>
    <s v="免"/>
    <m/>
    <s v="201706H1"/>
  </r>
  <r>
    <s v="6"/>
    <s v="02 接纳|组织方案设计"/>
    <m/>
    <s v="正常需求"/>
    <s v="OK"/>
    <s v="OK"/>
    <s v="免"/>
    <m/>
    <s v="201706H1"/>
  </r>
  <r>
    <s v="4"/>
    <s v="02 接纳|组织方案设计"/>
    <m/>
    <s v="正常需求"/>
    <s v="OK"/>
    <s v="OK"/>
    <s v="免"/>
    <m/>
    <s v="201706H1"/>
  </r>
  <r>
    <n v="0"/>
    <s v="03 退回|需求不清晰，需要提交人补充"/>
    <m/>
    <s v="正常需求"/>
    <s v="OK"/>
    <s v="OK"/>
    <s v="免"/>
    <m/>
    <m/>
  </r>
  <r>
    <n v="2"/>
    <s v="02 接纳|组织方案设计"/>
    <m/>
    <s v="正常需求"/>
    <s v="OK"/>
    <s v="OK"/>
    <s v="免"/>
    <m/>
    <m/>
  </r>
  <r>
    <s v="6"/>
    <s v="02 接纳|组织方案设计"/>
    <m/>
    <s v="正常需求"/>
    <s v="OK"/>
    <s v="OK"/>
    <s v="免"/>
    <m/>
    <m/>
  </r>
  <r>
    <s v="2"/>
    <s v="02 接纳|组织方案设计"/>
    <m/>
    <s v="正常需求"/>
    <s v="OK"/>
    <s v="OK"/>
    <s v="免"/>
    <m/>
    <m/>
  </r>
  <r>
    <n v="8"/>
    <s v="03 退回|需求不清晰，需要提交人补充"/>
    <m/>
    <s v="正常需求"/>
    <s v="OK"/>
    <s v="OK"/>
    <s v="免"/>
    <m/>
    <m/>
  </r>
  <r>
    <n v="5"/>
    <s v="02 接纳|组织方案设计"/>
    <m/>
    <s v="正常需求"/>
    <s v="OK"/>
    <s v="OK"/>
    <s v="免"/>
    <m/>
    <m/>
  </r>
  <r>
    <n v="60"/>
    <s v="02 接纳|组织方案设计"/>
    <m/>
    <s v="正常需求"/>
    <s v="OK"/>
    <s v="OK"/>
    <s v="免"/>
    <m/>
    <s v="2017H2"/>
  </r>
  <r>
    <n v="7"/>
    <s v="02 接纳|组织方案设计"/>
    <s v="优先使用CBG类似方案"/>
    <s v="正常需求"/>
    <s v="OK"/>
    <s v="OK"/>
    <s v="免"/>
    <m/>
    <m/>
  </r>
  <r>
    <n v="45"/>
    <s v="02 接纳|组织方案设计"/>
    <m/>
    <s v="正常需求"/>
    <s v="OK"/>
    <s v="OK"/>
    <s v="免"/>
    <m/>
    <m/>
  </r>
  <r>
    <n v="45"/>
    <s v="02 接纳|组织方案设计"/>
    <m/>
    <s v="正常需求"/>
    <s v="OK"/>
    <s v="OK"/>
    <s v="免"/>
    <m/>
    <m/>
  </r>
  <r>
    <s v="22"/>
    <s v="02 接纳|组织方案设计"/>
    <s v="AHB前重新审视方案"/>
    <s v="正常需求"/>
    <s v="OK"/>
    <s v="OK"/>
    <s v="免"/>
    <m/>
    <m/>
  </r>
  <r>
    <s v="22"/>
    <s v="02 接纳|组织方案设计"/>
    <m/>
    <s v="正常需求"/>
    <s v="OK"/>
    <s v="OK"/>
    <s v="免"/>
    <m/>
    <m/>
  </r>
  <r>
    <n v="10"/>
    <s v="02 接纳|组织方案设计"/>
    <m/>
    <s v="正常需求"/>
    <m/>
    <m/>
    <m/>
    <m/>
    <m/>
  </r>
  <r>
    <n v="15"/>
    <s v="02 接纳|组织方案设计"/>
    <m/>
    <s v="正常需求"/>
    <m/>
    <m/>
    <m/>
    <m/>
    <m/>
  </r>
  <r>
    <n v="10"/>
    <s v="02 接纳|组织方案设计"/>
    <m/>
    <s v="正常需求"/>
    <m/>
    <m/>
    <m/>
    <m/>
    <m/>
  </r>
  <r>
    <n v="20"/>
    <s v="02 接纳|组织方案设计"/>
    <m/>
    <s v="正常需求"/>
    <s v="待定"/>
    <s v="OK"/>
    <m/>
    <m/>
    <m/>
  </r>
  <r>
    <n v="5"/>
    <s v="02 接纳|组织方案设计"/>
    <m/>
    <s v="正常需求"/>
    <s v="OK"/>
    <s v="OK"/>
    <m/>
    <m/>
    <m/>
  </r>
  <r>
    <n v="17"/>
    <s v="02 接纳|组织方案设计"/>
    <m/>
    <s v="正常需求"/>
    <s v="待定"/>
    <s v="OK"/>
    <m/>
    <m/>
    <m/>
  </r>
  <r>
    <n v="30"/>
    <s v="02 接纳|组织方案设计"/>
    <m/>
    <s v="正常需求"/>
    <s v="待定"/>
    <s v="OK"/>
    <m/>
    <m/>
    <m/>
  </r>
  <r>
    <n v="3"/>
    <s v="02 接纳|组织方案设计"/>
    <m/>
    <s v="正常需求"/>
    <s v="OK"/>
    <s v="OK"/>
    <m/>
    <m/>
    <m/>
  </r>
  <r>
    <s v="22"/>
    <m/>
    <m/>
    <s v="正常需求"/>
    <s v="OK"/>
    <s v="OK"/>
    <s v="免"/>
    <m/>
    <m/>
  </r>
  <r>
    <s v="22"/>
    <m/>
    <m/>
    <s v="正常需求"/>
    <s v="OK"/>
    <s v="OK"/>
    <s v="免"/>
    <m/>
    <m/>
  </r>
  <r>
    <n v="22"/>
    <m/>
    <m/>
    <m/>
    <m/>
    <m/>
    <m/>
    <m/>
    <m/>
  </r>
  <r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">
  <r>
    <x v="0"/>
    <x v="0"/>
    <n v="6"/>
    <s v="02 接纳|组织方案设计"/>
    <m/>
    <s v="正常需求"/>
    <s v="OK"/>
    <s v="OK"/>
    <s v="免"/>
    <s v="是"/>
    <s v="201706H1"/>
  </r>
  <r>
    <x v="0"/>
    <x v="0"/>
    <n v="2"/>
    <s v="02 接纳|组织方案设计"/>
    <m/>
    <s v="正常需求"/>
    <s v="OK"/>
    <s v="OK"/>
    <s v="免"/>
    <m/>
    <s v="201706H1"/>
  </r>
  <r>
    <x v="0"/>
    <x v="0"/>
    <s v="6"/>
    <s v="02 接纳|组织方案设计"/>
    <m/>
    <s v="正常需求"/>
    <s v="OK"/>
    <s v="OK"/>
    <s v="免"/>
    <m/>
    <s v="201706H1"/>
  </r>
  <r>
    <x v="0"/>
    <x v="0"/>
    <s v="6"/>
    <s v="02 接纳|组织方案设计"/>
    <m/>
    <s v="正常需求"/>
    <s v="OK"/>
    <s v="OK"/>
    <s v="免"/>
    <m/>
    <s v="201706H1"/>
  </r>
  <r>
    <x v="0"/>
    <x v="0"/>
    <s v="4"/>
    <s v="02 接纳|组织方案设计"/>
    <m/>
    <s v="正常需求"/>
    <s v="OK"/>
    <s v="OK"/>
    <s v="免"/>
    <m/>
    <s v="201706H1"/>
  </r>
  <r>
    <x v="0"/>
    <x v="0"/>
    <n v="0"/>
    <s v="03 退回|需求不清晰，需要提交人补充"/>
    <m/>
    <s v="正常需求"/>
    <s v="OK"/>
    <s v="OK"/>
    <s v="免"/>
    <m/>
    <m/>
  </r>
  <r>
    <x v="0"/>
    <x v="0"/>
    <n v="2"/>
    <s v="02 接纳|组织方案设计"/>
    <m/>
    <s v="正常需求"/>
    <s v="OK"/>
    <s v="OK"/>
    <s v="免"/>
    <m/>
    <m/>
  </r>
  <r>
    <x v="0"/>
    <x v="0"/>
    <s v="6"/>
    <s v="02 接纳|组织方案设计"/>
    <m/>
    <s v="正常需求"/>
    <s v="OK"/>
    <s v="OK"/>
    <s v="免"/>
    <m/>
    <m/>
  </r>
  <r>
    <x v="0"/>
    <x v="0"/>
    <s v="2"/>
    <s v="02 接纳|组织方案设计"/>
    <m/>
    <s v="正常需求"/>
    <s v="OK"/>
    <s v="OK"/>
    <s v="免"/>
    <m/>
    <m/>
  </r>
  <r>
    <x v="0"/>
    <x v="0"/>
    <n v="8"/>
    <s v="03 退回|需求不清晰，需要提交人补充"/>
    <m/>
    <s v="正常需求"/>
    <s v="OK"/>
    <s v="OK"/>
    <s v="免"/>
    <m/>
    <m/>
  </r>
  <r>
    <x v="0"/>
    <x v="0"/>
    <n v="5"/>
    <s v="02 接纳|组织方案设计"/>
    <m/>
    <s v="正常需求"/>
    <s v="OK"/>
    <s v="OK"/>
    <s v="免"/>
    <m/>
    <m/>
  </r>
  <r>
    <x v="0"/>
    <x v="0"/>
    <n v="60"/>
    <s v="02 接纳|组织方案设计"/>
    <m/>
    <s v="正常需求"/>
    <s v="OK"/>
    <s v="OK"/>
    <s v="免"/>
    <m/>
    <s v="2017H2"/>
  </r>
  <r>
    <x v="1"/>
    <x v="0"/>
    <n v="7"/>
    <s v="02 接纳|组织方案设计"/>
    <s v="优先使用CBG类似方案"/>
    <s v="正常需求"/>
    <s v="OK"/>
    <s v="OK"/>
    <s v="免"/>
    <m/>
    <m/>
  </r>
  <r>
    <x v="0"/>
    <x v="0"/>
    <n v="45"/>
    <s v="02 接纳|组织方案设计"/>
    <m/>
    <s v="正常需求"/>
    <s v="OK"/>
    <s v="OK"/>
    <s v="免"/>
    <m/>
    <m/>
  </r>
  <r>
    <x v="0"/>
    <x v="0"/>
    <n v="45"/>
    <s v="02 接纳|组织方案设计"/>
    <m/>
    <s v="正常需求"/>
    <s v="OK"/>
    <s v="OK"/>
    <s v="免"/>
    <m/>
    <m/>
  </r>
  <r>
    <x v="0"/>
    <x v="1"/>
    <s v="22"/>
    <s v="02 接纳|组织方案设计"/>
    <s v="AHB前重新审视方案"/>
    <s v="正常需求"/>
    <s v="OK"/>
    <s v="OK"/>
    <s v="免"/>
    <m/>
    <m/>
  </r>
  <r>
    <x v="0"/>
    <x v="1"/>
    <s v="22"/>
    <s v="02 接纳|组织方案设计"/>
    <m/>
    <s v="正常需求"/>
    <s v="OK"/>
    <s v="OK"/>
    <s v="免"/>
    <m/>
    <m/>
  </r>
  <r>
    <x v="1"/>
    <x v="0"/>
    <n v="10"/>
    <s v="02 接纳|组织方案设计"/>
    <m/>
    <s v="正常需求"/>
    <m/>
    <m/>
    <m/>
    <m/>
    <m/>
  </r>
  <r>
    <x v="1"/>
    <x v="0"/>
    <n v="15"/>
    <s v="02 接纳|组织方案设计"/>
    <m/>
    <s v="正常需求"/>
    <m/>
    <m/>
    <m/>
    <m/>
    <m/>
  </r>
  <r>
    <x v="1"/>
    <x v="0"/>
    <n v="10"/>
    <s v="02 接纳|组织方案设计"/>
    <m/>
    <s v="正常需求"/>
    <m/>
    <m/>
    <m/>
    <m/>
    <m/>
  </r>
  <r>
    <x v="2"/>
    <x v="0"/>
    <n v="20"/>
    <s v="02 接纳|组织方案设计"/>
    <m/>
    <s v="正常需求"/>
    <s v="待定"/>
    <s v="OK"/>
    <m/>
    <m/>
    <m/>
  </r>
  <r>
    <x v="1"/>
    <x v="0"/>
    <n v="5"/>
    <s v="02 接纳|组织方案设计"/>
    <m/>
    <s v="正常需求"/>
    <s v="OK"/>
    <s v="OK"/>
    <m/>
    <m/>
    <m/>
  </r>
  <r>
    <x v="2"/>
    <x v="0"/>
    <n v="17"/>
    <s v="02 接纳|组织方案设计"/>
    <m/>
    <s v="正常需求"/>
    <s v="待定"/>
    <s v="OK"/>
    <m/>
    <m/>
    <m/>
  </r>
  <r>
    <x v="2"/>
    <x v="0"/>
    <n v="30"/>
    <s v="02 接纳|组织方案设计"/>
    <m/>
    <s v="正常需求"/>
    <s v="待定"/>
    <s v="OK"/>
    <m/>
    <m/>
    <m/>
  </r>
  <r>
    <x v="2"/>
    <x v="0"/>
    <n v="3"/>
    <s v="02 接纳|组织方案设计"/>
    <m/>
    <s v="正常需求"/>
    <s v="OK"/>
    <s v="OK"/>
    <m/>
    <m/>
    <m/>
  </r>
  <r>
    <x v="0"/>
    <x v="1"/>
    <s v="22"/>
    <m/>
    <m/>
    <s v="正常需求"/>
    <s v="OK"/>
    <s v="OK"/>
    <s v="免"/>
    <m/>
    <m/>
  </r>
  <r>
    <x v="0"/>
    <x v="1"/>
    <s v="22"/>
    <m/>
    <m/>
    <s v="正常需求"/>
    <s v="OK"/>
    <s v="OK"/>
    <s v="免"/>
    <m/>
    <m/>
  </r>
  <r>
    <x v="1"/>
    <x v="1"/>
    <n v="22"/>
    <m/>
    <m/>
    <m/>
    <m/>
    <m/>
    <m/>
    <m/>
    <m/>
  </r>
  <r>
    <x v="3"/>
    <x v="2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4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5:B15" firstHeaderRow="1" firstDataRow="1" firstDataCol="1"/>
  <pivotFields count="11">
    <pivotField axis="axisRow" showAll="0">
      <items count="5">
        <item x="0"/>
        <item x="2"/>
        <item x="1"/>
        <item x="3"/>
        <item t="default"/>
      </items>
    </pivotField>
    <pivotField axis="axisRow" dataField="1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"/>
    <field x="0"/>
  </rowFields>
  <rowItems count="10">
    <i>
      <x/>
    </i>
    <i r="1">
      <x/>
    </i>
    <i r="1">
      <x v="2"/>
    </i>
    <i>
      <x v="1"/>
    </i>
    <i r="1">
      <x/>
    </i>
    <i r="1">
      <x v="1"/>
    </i>
    <i r="1">
      <x v="2"/>
    </i>
    <i>
      <x v="2"/>
    </i>
    <i r="1">
      <x v="3"/>
    </i>
    <i t="grand">
      <x/>
    </i>
  </rowItems>
  <colItems count="1">
    <i/>
  </colItems>
  <dataFields count="1">
    <dataField name="计数项:产业" fld="1" subtotal="count" baseField="1" baseItem="0" numFmtId="4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1">
  <location ref="A1:C18" firstHeaderRow="1" firstDataRow="1" firstDataCol="0"/>
  <pivotFields count="9"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</pivot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1" displayName="表1" ref="A1:AO2" totalsRowShown="0">
  <autoFilter ref="A1:AO2"/>
  <tableColumns count="41">
    <tableColumn id="1" name="Serial No."/>
    <tableColumn id="2" name="Req. Title "/>
    <tableColumn id="3" name="需求描述 Description" dataDxfId="4"/>
    <tableColumn id="4" name="所属区域 Region"/>
    <tableColumn id="5" name="希望该需求交付日期 Expected Offering Date"/>
    <tableColumn id="6" name="当前处理人Current Approvers"/>
    <tableColumn id="7" name="其他参与人 Other Attenders"/>
    <tableColumn id="8" name="所属项目名称 *  Project Name"/>
    <tableColumn id="9" name="需求类型* Type"/>
    <tableColumn id="10" name="_x000a__x000a_当前处理人的初步分析结论 * Draft Analysis Solution" dataDxfId="3"/>
    <tableColumn id="11" name="MDSP工作量(K)*_x000a_Workload"/>
    <tableColumn id="12" name="BFM工作量(K)*_x000a_Workload"/>
    <tableColumn id="13" name="IB工作量(K)*_x000a_Workload"/>
    <tableColumn id="14" name="SAG/NAG工作量(K)*_x000a_Workload"/>
    <tableColumn id="15" name="DLSC/Streaming/DRM工作量(K)*_x000a_Workload"/>
    <tableColumn id="16" name="PortalOne工作量(K)*_x000a_Workload"/>
    <tableColumn id="17" name="iMOST/Promotion工作量(K)*_x000a_Workload"/>
    <tableColumn id="18" name="DNA工作量(K)*_x000a_Workload"/>
    <tableColumn id="19" name="SEE工作量(K)*_x000a_Workload"/>
    <tableColumn id="20" name="Report工作量(K)*_x000a_Workload"/>
    <tableColumn id="21" name="其他工作量(K)*_x000a_Workload"/>
    <tableColumn id="22" name="总工作量(K) Total Workload"/>
    <tableColumn id="23" name="交付时间点 Offering Date（YYYY-MM-DD）*"/>
    <tableColumn id="24" name="解决方案版本号 Solution Version"/>
    <tableColumn id="25" name="MDSP版本号 Version"/>
    <tableColumn id="26" name="SAG/NAG版本号Version"/>
    <tableColumn id="27" name="DLSC/Streaming/DRM版本号Version"/>
    <tableColumn id="28" name="PortalOne版本号Version"/>
    <tableColumn id="29" name="iMOST/Promotion版本号Version"/>
    <tableColumn id="30" name="DNA版本号Version"/>
    <tableColumn id="31" name="SEE版本号Version"/>
    <tableColumn id="32" name="Report版本号Version"/>
    <tableColumn id="33" name="其他版本号Version"/>
    <tableColumn id="34" name="价格 Price"/>
    <tableColumn id="35" name="销售模式 Sale Mode"/>
    <tableColumn id="36" name="是否回落基线*BaseLine Or Not"/>
    <tableColumn id="37" name="会议结论 Meeting Conclusion "/>
    <tableColumn id="38" name="综合结论 RMT/RAT's Conclusion"/>
    <tableColumn id="39" name="是否剔除基线"/>
    <tableColumn id="40" name="RAT月份和第几周"/>
    <tableColumn id="41" name="交付月份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5" totalsRowShown="0">
  <autoFilter ref="A1:K5"/>
  <tableColumns count="11">
    <tableColumn id="1" name="需求类型*"/>
    <tableColumn id="2" name="产业"/>
    <tableColumn id="3" name="工作量(人天)*"/>
    <tableColumn id="4" name="RAT结论"/>
    <tableColumn id="5" name="备注"/>
    <tableColumn id="6" name="需求类型（细化）"/>
    <tableColumn id="7" name="数据源具备时间"/>
    <tableColumn id="8" name="数据接口确定时间"/>
    <tableColumn id="9" name="One Data迁移满足度"/>
    <tableColumn id="10" name="是否满足开发入口条件 "/>
    <tableColumn id="11" name="AHB计划安排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1:K2" totalsRowShown="0">
  <autoFilter ref="A1:K2"/>
  <tableColumns count="11">
    <tableColumn id="1" name="需求类型*"/>
    <tableColumn id="2" name="产业"/>
    <tableColumn id="3" name="工作量(人天)*"/>
    <tableColumn id="4" name="RAT结论"/>
    <tableColumn id="5" name="备注"/>
    <tableColumn id="6" name="需求类型（细化）"/>
    <tableColumn id="7" name="数据源具备时间"/>
    <tableColumn id="8" name="数据接口确定时间"/>
    <tableColumn id="9" name="One Data迁移满足度"/>
    <tableColumn id="10" name="是否满足开发入口条件 "/>
    <tableColumn id="11" name="AHB计划安排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"/>
  <sheetViews>
    <sheetView topLeftCell="M1" workbookViewId="0">
      <selection activeCell="V3" sqref="V3"/>
    </sheetView>
  </sheetViews>
  <sheetFormatPr defaultRowHeight="15"/>
  <cols>
    <col min="1" max="1" width="9.44140625" customWidth="1"/>
    <col min="2" max="2" width="9.6640625" customWidth="1"/>
    <col min="3" max="3" width="18.109375" customWidth="1"/>
    <col min="4" max="4" width="15.109375" customWidth="1"/>
    <col min="5" max="5" width="36" customWidth="1"/>
    <col min="6" max="6" width="24.6640625" customWidth="1"/>
    <col min="7" max="7" width="23.44140625" customWidth="1"/>
    <col min="8" max="8" width="25.109375" customWidth="1"/>
    <col min="9" max="9" width="14.21875" customWidth="1"/>
    <col min="22" max="22" width="23.33203125" customWidth="1"/>
    <col min="23" max="23" width="36.33203125" customWidth="1"/>
    <col min="24" max="24" width="27.109375" customWidth="1"/>
    <col min="25" max="25" width="18.109375" customWidth="1"/>
    <col min="26" max="26" width="20.5546875" customWidth="1"/>
    <col min="27" max="27" width="29.21875" customWidth="1"/>
    <col min="28" max="28" width="20.44140625" customWidth="1"/>
    <col min="29" max="29" width="26.33203125" customWidth="1"/>
    <col min="30" max="30" width="16.6640625" customWidth="1"/>
    <col min="31" max="31" width="15.88671875" customWidth="1"/>
    <col min="32" max="32" width="18.21875" customWidth="1"/>
    <col min="33" max="33" width="16.77734375" customWidth="1"/>
    <col min="34" max="34" width="9.88671875" customWidth="1"/>
    <col min="35" max="35" width="17.88671875" customWidth="1"/>
    <col min="36" max="36" width="25.44140625" customWidth="1"/>
    <col min="37" max="37" width="24.77734375" customWidth="1"/>
    <col min="38" max="38" width="26.33203125" customWidth="1"/>
    <col min="39" max="39" width="13.109375" customWidth="1"/>
    <col min="40" max="40" width="16.109375" customWidth="1"/>
    <col min="41" max="41" width="9.5546875" customWidth="1"/>
  </cols>
  <sheetData>
    <row r="1" spans="1:41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  <c r="AE1" t="s">
        <v>44</v>
      </c>
      <c r="AF1" t="s">
        <v>45</v>
      </c>
      <c r="AG1" t="s">
        <v>46</v>
      </c>
      <c r="AH1" t="s">
        <v>47</v>
      </c>
      <c r="AI1" t="s">
        <v>48</v>
      </c>
      <c r="AJ1" t="s">
        <v>9</v>
      </c>
      <c r="AK1" t="s">
        <v>49</v>
      </c>
      <c r="AL1" t="s">
        <v>8</v>
      </c>
      <c r="AM1" t="s">
        <v>3</v>
      </c>
      <c r="AN1" t="s">
        <v>12</v>
      </c>
      <c r="AO1" t="s">
        <v>2</v>
      </c>
    </row>
    <row r="2" spans="1:41" ht="409.5">
      <c r="A2">
        <v>201402225512</v>
      </c>
      <c r="B2" t="s">
        <v>11</v>
      </c>
      <c r="C2" s="1" t="s">
        <v>50</v>
      </c>
      <c r="D2" t="s">
        <v>51</v>
      </c>
      <c r="E2">
        <v>41759</v>
      </c>
      <c r="F2" t="s">
        <v>7</v>
      </c>
      <c r="G2" t="s">
        <v>52</v>
      </c>
      <c r="H2" t="s">
        <v>4</v>
      </c>
      <c r="I2" t="s">
        <v>6</v>
      </c>
      <c r="J2" s="1" t="s">
        <v>53</v>
      </c>
      <c r="K2">
        <v>8.9</v>
      </c>
      <c r="P2">
        <v>2</v>
      </c>
      <c r="V2">
        <v>10.9</v>
      </c>
      <c r="AI2" t="s">
        <v>10</v>
      </c>
      <c r="AJ2" t="s">
        <v>5</v>
      </c>
      <c r="AK2" t="s">
        <v>54</v>
      </c>
      <c r="AL2" t="s">
        <v>0</v>
      </c>
      <c r="AM2" t="s">
        <v>4</v>
      </c>
      <c r="AN2" t="s">
        <v>13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63"/>
  <sheetViews>
    <sheetView tabSelected="1" zoomScaleNormal="100" zoomScaleSheetLayoutView="115" workbookViewId="0">
      <pane ySplit="1" topLeftCell="A2" activePane="bottomLeft" state="frozen"/>
      <selection pane="bottomLeft" activeCell="K4" sqref="K4:K9"/>
    </sheetView>
  </sheetViews>
  <sheetFormatPr defaultColWidth="8.77734375" defaultRowHeight="12.75"/>
  <cols>
    <col min="1" max="1" width="12.44140625" style="36" customWidth="1"/>
    <col min="2" max="2" width="28.6640625" style="62" customWidth="1"/>
    <col min="3" max="3" width="54" style="44" hidden="1" customWidth="1"/>
    <col min="4" max="4" width="13.6640625" style="37" hidden="1" customWidth="1"/>
    <col min="5" max="5" width="13.6640625" style="49" hidden="1" customWidth="1"/>
    <col min="6" max="7" width="13.44140625" style="49" hidden="1" customWidth="1"/>
    <col min="8" max="8" width="16" style="46" hidden="1" customWidth="1"/>
    <col min="9" max="10" width="13.21875" style="38" hidden="1" customWidth="1"/>
    <col min="11" max="11" width="13.44140625" style="69" customWidth="1"/>
    <col min="12" max="12" width="23.44140625" style="65" customWidth="1"/>
    <col min="13" max="13" width="18.44140625" style="66" customWidth="1"/>
    <col min="14" max="14" width="14.88671875" style="62" customWidth="1"/>
    <col min="15" max="15" width="16.109375" style="39" customWidth="1"/>
    <col min="16" max="16" width="16" style="63" customWidth="1"/>
    <col min="17" max="17" width="20.6640625" style="63" customWidth="1"/>
    <col min="18" max="19" width="26.33203125" style="40" customWidth="1"/>
    <col min="20" max="20" width="27.33203125" style="41" customWidth="1"/>
    <col min="21" max="21" width="15.44140625" style="42" customWidth="1"/>
    <col min="22" max="22" width="15.6640625" style="42" customWidth="1"/>
    <col min="23" max="23" width="22.5546875" style="50" customWidth="1"/>
    <col min="24" max="24" width="12.21875" style="42" customWidth="1"/>
    <col min="25" max="25" width="17.44140625" style="42" customWidth="1"/>
    <col min="26" max="26" width="8.6640625" style="42" customWidth="1"/>
    <col min="27" max="16384" width="8.77734375" style="43"/>
  </cols>
  <sheetData>
    <row r="1" spans="1:27" s="33" customFormat="1" ht="15.75">
      <c r="A1" s="34" t="s">
        <v>71</v>
      </c>
      <c r="B1" s="34" t="s">
        <v>104</v>
      </c>
      <c r="C1" s="35" t="s">
        <v>105</v>
      </c>
      <c r="D1" s="34" t="s">
        <v>79</v>
      </c>
      <c r="E1" s="45" t="s">
        <v>81</v>
      </c>
      <c r="F1" s="45" t="s">
        <v>64</v>
      </c>
      <c r="G1" s="48" t="s">
        <v>92</v>
      </c>
      <c r="H1" s="45" t="s">
        <v>106</v>
      </c>
      <c r="I1" s="34" t="s">
        <v>96</v>
      </c>
      <c r="J1" s="34" t="s">
        <v>72</v>
      </c>
      <c r="K1" s="47" t="s">
        <v>97</v>
      </c>
      <c r="L1" s="34" t="s">
        <v>98</v>
      </c>
      <c r="M1" s="47" t="s">
        <v>55</v>
      </c>
      <c r="N1" s="34" t="s">
        <v>82</v>
      </c>
      <c r="O1" s="34" t="s">
        <v>83</v>
      </c>
      <c r="P1" s="34" t="s">
        <v>84</v>
      </c>
      <c r="Q1" s="34" t="s">
        <v>85</v>
      </c>
      <c r="R1" s="34" t="s">
        <v>100</v>
      </c>
      <c r="S1" s="34" t="s">
        <v>102</v>
      </c>
      <c r="T1" s="34" t="s">
        <v>101</v>
      </c>
      <c r="U1" s="34" t="s">
        <v>107</v>
      </c>
      <c r="V1" s="34" t="s">
        <v>60</v>
      </c>
      <c r="W1" s="35" t="s">
        <v>108</v>
      </c>
      <c r="X1" s="34" t="s">
        <v>109</v>
      </c>
      <c r="Y1" s="34" t="s">
        <v>110</v>
      </c>
      <c r="Z1" s="34" t="s">
        <v>63</v>
      </c>
      <c r="AA1" s="32"/>
    </row>
    <row r="2" spans="1:27" s="28" customFormat="1" ht="25.5">
      <c r="A2" s="62"/>
      <c r="B2" s="77" t="s">
        <v>179</v>
      </c>
      <c r="C2" s="44" t="s">
        <v>103</v>
      </c>
      <c r="D2" s="37" t="s">
        <v>76</v>
      </c>
      <c r="E2" s="49">
        <v>42982</v>
      </c>
      <c r="F2" s="63"/>
      <c r="G2" s="49">
        <v>42982</v>
      </c>
      <c r="H2" s="46" t="s">
        <v>76</v>
      </c>
      <c r="I2" s="38" t="s">
        <v>80</v>
      </c>
      <c r="J2" s="38" t="s">
        <v>74</v>
      </c>
      <c r="K2" s="76">
        <v>15</v>
      </c>
      <c r="L2" s="65"/>
      <c r="M2" s="66"/>
      <c r="N2" s="62"/>
      <c r="O2" s="67"/>
      <c r="P2" s="63"/>
      <c r="Q2" s="63"/>
      <c r="R2" s="64"/>
      <c r="S2" s="64"/>
      <c r="T2" s="68"/>
      <c r="U2" s="66"/>
      <c r="V2" s="66"/>
      <c r="W2" s="66"/>
      <c r="X2" s="66"/>
      <c r="Y2" s="66"/>
      <c r="Z2" s="66"/>
    </row>
    <row r="3" spans="1:27" s="28" customFormat="1" ht="24">
      <c r="A3" s="62"/>
      <c r="B3" s="77" t="s">
        <v>176</v>
      </c>
      <c r="C3" s="44"/>
      <c r="D3" s="37"/>
      <c r="E3" s="49"/>
      <c r="F3" s="63"/>
      <c r="G3" s="49"/>
      <c r="H3" s="46"/>
      <c r="I3" s="38"/>
      <c r="J3" s="38"/>
      <c r="K3" s="76">
        <v>20</v>
      </c>
      <c r="L3" s="65"/>
      <c r="M3" s="66"/>
      <c r="N3" s="62"/>
      <c r="O3" s="67"/>
      <c r="P3" s="63"/>
      <c r="Q3" s="63"/>
      <c r="R3" s="64"/>
      <c r="S3" s="64"/>
      <c r="T3" s="68"/>
      <c r="U3" s="66"/>
      <c r="V3" s="66"/>
      <c r="W3" s="66"/>
      <c r="X3" s="66"/>
      <c r="Y3" s="66"/>
      <c r="Z3" s="66"/>
    </row>
    <row r="4" spans="1:27" s="28" customFormat="1">
      <c r="A4" s="62"/>
      <c r="B4" s="62" t="s">
        <v>163</v>
      </c>
      <c r="C4" s="44" t="s">
        <v>164</v>
      </c>
      <c r="D4" s="37" t="s">
        <v>76</v>
      </c>
      <c r="E4" s="49">
        <v>42982</v>
      </c>
      <c r="F4" s="49"/>
      <c r="G4" s="49">
        <v>42982</v>
      </c>
      <c r="H4" s="46" t="s">
        <v>76</v>
      </c>
      <c r="I4" s="38" t="s">
        <v>80</v>
      </c>
      <c r="J4" s="38" t="s">
        <v>74</v>
      </c>
      <c r="K4" s="78">
        <v>15</v>
      </c>
      <c r="L4" s="65"/>
      <c r="M4" s="66"/>
      <c r="N4" s="62"/>
      <c r="O4" s="39"/>
      <c r="P4" s="63"/>
      <c r="Q4" s="63"/>
      <c r="R4" s="40" t="s">
        <v>88</v>
      </c>
      <c r="S4" s="40"/>
      <c r="T4" s="41"/>
      <c r="U4" s="66"/>
      <c r="V4" s="66"/>
      <c r="W4" s="66"/>
      <c r="X4" s="66"/>
      <c r="Y4" s="66"/>
      <c r="Z4" s="66"/>
    </row>
    <row r="5" spans="1:27" s="28" customFormat="1" ht="25.5">
      <c r="A5" s="62"/>
      <c r="B5" s="62" t="s">
        <v>165</v>
      </c>
      <c r="C5" s="62" t="s">
        <v>166</v>
      </c>
      <c r="D5" s="62" t="s">
        <v>76</v>
      </c>
      <c r="E5" s="63">
        <v>42982</v>
      </c>
      <c r="F5" s="63"/>
      <c r="G5" s="63">
        <v>42982</v>
      </c>
      <c r="H5" s="62" t="s">
        <v>76</v>
      </c>
      <c r="I5" s="62" t="s">
        <v>80</v>
      </c>
      <c r="J5" s="62" t="s">
        <v>74</v>
      </c>
      <c r="K5" s="78">
        <v>5</v>
      </c>
      <c r="L5" s="65"/>
      <c r="M5" s="66"/>
      <c r="N5" s="62"/>
      <c r="O5" s="67"/>
      <c r="P5" s="63"/>
      <c r="Q5" s="63"/>
      <c r="R5" s="64" t="s">
        <v>88</v>
      </c>
      <c r="S5" s="64"/>
      <c r="T5" s="68"/>
      <c r="U5" s="66"/>
      <c r="V5" s="66"/>
      <c r="W5" s="66"/>
      <c r="X5" s="66"/>
      <c r="Y5" s="66"/>
      <c r="Z5" s="66"/>
    </row>
    <row r="6" spans="1:27" s="28" customFormat="1">
      <c r="A6" s="62"/>
      <c r="B6" s="62" t="s">
        <v>167</v>
      </c>
      <c r="C6" s="62" t="s">
        <v>168</v>
      </c>
      <c r="D6" s="62" t="s">
        <v>76</v>
      </c>
      <c r="E6" s="63">
        <v>42982</v>
      </c>
      <c r="F6" s="63"/>
      <c r="G6" s="63">
        <v>42982</v>
      </c>
      <c r="H6" s="62" t="s">
        <v>76</v>
      </c>
      <c r="I6" s="62" t="s">
        <v>80</v>
      </c>
      <c r="J6" s="62" t="s">
        <v>74</v>
      </c>
      <c r="K6" s="78">
        <v>12</v>
      </c>
      <c r="L6" s="65"/>
      <c r="M6" s="66"/>
      <c r="N6" s="62"/>
      <c r="O6" s="67"/>
      <c r="P6" s="63"/>
      <c r="Q6" s="63"/>
      <c r="R6" s="64" t="s">
        <v>88</v>
      </c>
      <c r="S6" s="64"/>
      <c r="T6" s="68"/>
      <c r="U6" s="66"/>
      <c r="V6" s="66"/>
      <c r="W6" s="70"/>
      <c r="X6" s="66"/>
      <c r="Y6" s="66"/>
      <c r="Z6" s="66"/>
    </row>
    <row r="7" spans="1:27" s="28" customFormat="1">
      <c r="A7" s="62"/>
      <c r="B7" s="62" t="s">
        <v>169</v>
      </c>
      <c r="C7" s="62" t="s">
        <v>170</v>
      </c>
      <c r="D7" s="62" t="s">
        <v>76</v>
      </c>
      <c r="E7" s="63">
        <v>42982</v>
      </c>
      <c r="F7" s="63"/>
      <c r="G7" s="63">
        <v>42982</v>
      </c>
      <c r="H7" s="62" t="s">
        <v>76</v>
      </c>
      <c r="I7" s="62" t="s">
        <v>80</v>
      </c>
      <c r="J7" s="62" t="s">
        <v>74</v>
      </c>
      <c r="K7" s="78">
        <v>12</v>
      </c>
      <c r="L7" s="65"/>
      <c r="M7" s="66"/>
      <c r="N7" s="62"/>
      <c r="O7" s="67"/>
      <c r="P7" s="63"/>
      <c r="Q7" s="63"/>
      <c r="R7" s="64" t="s">
        <v>88</v>
      </c>
      <c r="S7" s="64"/>
      <c r="T7" s="68"/>
      <c r="U7" s="66"/>
      <c r="V7" s="66"/>
      <c r="W7" s="66"/>
      <c r="X7" s="66"/>
      <c r="Y7" s="66"/>
      <c r="Z7" s="66"/>
    </row>
    <row r="8" spans="1:27" s="28" customFormat="1">
      <c r="A8" s="62"/>
      <c r="B8" s="62" t="s">
        <v>171</v>
      </c>
      <c r="C8" s="62" t="s">
        <v>172</v>
      </c>
      <c r="D8" s="62" t="s">
        <v>76</v>
      </c>
      <c r="E8" s="63">
        <v>42982</v>
      </c>
      <c r="F8" s="63"/>
      <c r="G8" s="63">
        <v>42982</v>
      </c>
      <c r="H8" s="62" t="s">
        <v>76</v>
      </c>
      <c r="I8" s="62" t="s">
        <v>80</v>
      </c>
      <c r="J8" s="62" t="s">
        <v>74</v>
      </c>
      <c r="K8" s="78">
        <v>12</v>
      </c>
      <c r="L8" s="65"/>
      <c r="M8" s="66"/>
      <c r="N8" s="62"/>
      <c r="O8" s="67"/>
      <c r="P8" s="63"/>
      <c r="Q8" s="63"/>
      <c r="R8" s="64" t="s">
        <v>88</v>
      </c>
      <c r="S8" s="64"/>
      <c r="T8" s="68"/>
      <c r="U8" s="66"/>
      <c r="V8" s="66"/>
      <c r="W8" s="70"/>
      <c r="X8" s="66"/>
      <c r="Y8" s="66"/>
      <c r="Z8" s="66"/>
    </row>
    <row r="9" spans="1:27" s="28" customFormat="1">
      <c r="A9" s="62"/>
      <c r="B9" s="62" t="s">
        <v>173</v>
      </c>
      <c r="C9" s="62" t="s">
        <v>174</v>
      </c>
      <c r="D9" s="62" t="s">
        <v>76</v>
      </c>
      <c r="E9" s="63">
        <v>42982</v>
      </c>
      <c r="F9" s="63"/>
      <c r="G9" s="63">
        <v>42982</v>
      </c>
      <c r="H9" s="62" t="s">
        <v>76</v>
      </c>
      <c r="I9" s="62" t="s">
        <v>80</v>
      </c>
      <c r="J9" s="62" t="s">
        <v>74</v>
      </c>
      <c r="K9" s="78">
        <v>15</v>
      </c>
      <c r="L9" s="65"/>
      <c r="M9" s="66"/>
      <c r="N9" s="62"/>
      <c r="O9" s="67"/>
      <c r="P9" s="63"/>
      <c r="Q9" s="63"/>
      <c r="R9" s="64" t="s">
        <v>88</v>
      </c>
      <c r="S9" s="64"/>
      <c r="T9" s="68"/>
      <c r="U9" s="66"/>
      <c r="V9" s="66"/>
      <c r="W9" s="70"/>
      <c r="X9" s="66"/>
      <c r="Y9" s="66"/>
      <c r="Z9" s="66"/>
    </row>
    <row r="10" spans="1:27" s="28" customFormat="1">
      <c r="A10" s="62"/>
      <c r="B10" s="62" t="s">
        <v>111</v>
      </c>
      <c r="C10" s="62" t="s">
        <v>112</v>
      </c>
      <c r="D10" s="62" t="s">
        <v>76</v>
      </c>
      <c r="E10" s="63">
        <v>42982</v>
      </c>
      <c r="F10" s="63"/>
      <c r="G10" s="63">
        <v>42982</v>
      </c>
      <c r="H10" s="62" t="s">
        <v>76</v>
      </c>
      <c r="I10" s="62" t="s">
        <v>80</v>
      </c>
      <c r="J10" s="62" t="s">
        <v>74</v>
      </c>
      <c r="K10" s="78">
        <v>10</v>
      </c>
      <c r="L10" s="65"/>
      <c r="M10" s="66"/>
      <c r="N10" s="62"/>
      <c r="O10" s="67"/>
      <c r="P10" s="63"/>
      <c r="Q10" s="63"/>
      <c r="R10" s="64"/>
      <c r="S10" s="64"/>
      <c r="T10" s="68"/>
      <c r="U10" s="66"/>
      <c r="V10" s="66"/>
      <c r="W10" s="70"/>
      <c r="X10" s="66"/>
      <c r="Y10" s="66"/>
      <c r="Z10" s="66"/>
    </row>
    <row r="11" spans="1:27" s="28" customFormat="1">
      <c r="A11" s="62"/>
      <c r="B11" s="62" t="s">
        <v>113</v>
      </c>
      <c r="C11" s="62" t="s">
        <v>114</v>
      </c>
      <c r="D11" s="62" t="s">
        <v>76</v>
      </c>
      <c r="E11" s="63">
        <v>42982</v>
      </c>
      <c r="F11" s="63"/>
      <c r="G11" s="63">
        <v>42982</v>
      </c>
      <c r="H11" s="62" t="s">
        <v>76</v>
      </c>
      <c r="I11" s="62" t="s">
        <v>80</v>
      </c>
      <c r="J11" s="62" t="s">
        <v>74</v>
      </c>
      <c r="K11" s="78">
        <v>12</v>
      </c>
      <c r="L11" s="65"/>
      <c r="M11" s="66"/>
      <c r="N11" s="62"/>
      <c r="O11" s="67"/>
      <c r="P11" s="63"/>
      <c r="Q11" s="63"/>
      <c r="R11" s="64"/>
      <c r="S11" s="64"/>
      <c r="T11" s="68"/>
      <c r="U11" s="66"/>
      <c r="V11" s="66"/>
      <c r="W11" s="70"/>
      <c r="X11" s="66"/>
      <c r="Y11" s="66"/>
      <c r="Z11" s="66"/>
    </row>
    <row r="12" spans="1:27" s="28" customFormat="1">
      <c r="A12" s="62"/>
      <c r="B12" s="62" t="s">
        <v>115</v>
      </c>
      <c r="C12" s="62" t="s">
        <v>116</v>
      </c>
      <c r="D12" s="62" t="s">
        <v>76</v>
      </c>
      <c r="E12" s="63">
        <v>42982</v>
      </c>
      <c r="F12" s="63"/>
      <c r="G12" s="63">
        <v>42982</v>
      </c>
      <c r="H12" s="62" t="s">
        <v>76</v>
      </c>
      <c r="I12" s="62" t="s">
        <v>80</v>
      </c>
      <c r="J12" s="62" t="s">
        <v>74</v>
      </c>
      <c r="K12" s="78">
        <v>12</v>
      </c>
      <c r="L12" s="65"/>
      <c r="M12" s="66"/>
      <c r="N12" s="62"/>
      <c r="O12" s="67"/>
      <c r="P12" s="63"/>
      <c r="Q12" s="63"/>
      <c r="R12" s="64"/>
      <c r="S12" s="64"/>
      <c r="T12" s="68"/>
      <c r="U12" s="66"/>
      <c r="V12" s="66"/>
      <c r="W12" s="70"/>
      <c r="X12" s="66"/>
      <c r="Y12" s="66"/>
      <c r="Z12" s="66"/>
    </row>
    <row r="13" spans="1:27" s="28" customFormat="1">
      <c r="A13" s="62"/>
      <c r="B13" s="62" t="s">
        <v>117</v>
      </c>
      <c r="C13" s="62" t="s">
        <v>118</v>
      </c>
      <c r="D13" s="62" t="s">
        <v>76</v>
      </c>
      <c r="E13" s="63">
        <v>42982</v>
      </c>
      <c r="F13" s="63"/>
      <c r="G13" s="63">
        <v>42982</v>
      </c>
      <c r="H13" s="62" t="s">
        <v>76</v>
      </c>
      <c r="I13" s="62" t="s">
        <v>80</v>
      </c>
      <c r="J13" s="62" t="s">
        <v>74</v>
      </c>
      <c r="K13" s="78">
        <v>12</v>
      </c>
      <c r="L13" s="65"/>
      <c r="M13" s="66"/>
      <c r="N13" s="62"/>
      <c r="O13" s="67"/>
      <c r="P13" s="63"/>
      <c r="Q13" s="63"/>
      <c r="R13" s="64"/>
      <c r="S13" s="64"/>
      <c r="T13" s="68"/>
      <c r="U13" s="66"/>
      <c r="V13" s="66"/>
      <c r="W13" s="70"/>
      <c r="X13" s="66"/>
      <c r="Y13" s="66"/>
      <c r="Z13" s="66"/>
    </row>
    <row r="14" spans="1:27" s="28" customFormat="1">
      <c r="A14" s="62"/>
      <c r="B14" s="62" t="s">
        <v>119</v>
      </c>
      <c r="C14" s="62" t="s">
        <v>120</v>
      </c>
      <c r="D14" s="62" t="s">
        <v>76</v>
      </c>
      <c r="E14" s="63">
        <v>42982</v>
      </c>
      <c r="F14" s="63"/>
      <c r="G14" s="63">
        <v>42982</v>
      </c>
      <c r="H14" s="62" t="s">
        <v>76</v>
      </c>
      <c r="I14" s="62" t="s">
        <v>80</v>
      </c>
      <c r="J14" s="62" t="s">
        <v>74</v>
      </c>
      <c r="K14" s="78">
        <v>12</v>
      </c>
      <c r="L14" s="65"/>
      <c r="M14" s="66"/>
      <c r="N14" s="62"/>
      <c r="O14" s="67"/>
      <c r="P14" s="63"/>
      <c r="Q14" s="63"/>
      <c r="R14" s="64"/>
      <c r="S14" s="64"/>
      <c r="T14" s="68"/>
      <c r="U14" s="66"/>
      <c r="V14" s="66"/>
      <c r="W14" s="70"/>
      <c r="X14" s="66"/>
      <c r="Y14" s="66"/>
      <c r="Z14" s="66"/>
    </row>
    <row r="15" spans="1:27">
      <c r="B15" s="62" t="s">
        <v>121</v>
      </c>
      <c r="C15" s="62" t="s">
        <v>122</v>
      </c>
      <c r="D15" s="37" t="s">
        <v>76</v>
      </c>
      <c r="E15" s="63">
        <v>42982</v>
      </c>
      <c r="G15" s="63">
        <v>42982</v>
      </c>
      <c r="H15" s="46" t="s">
        <v>76</v>
      </c>
      <c r="I15" s="38" t="s">
        <v>80</v>
      </c>
      <c r="J15" s="38" t="s">
        <v>74</v>
      </c>
      <c r="K15" s="78">
        <v>15</v>
      </c>
    </row>
    <row r="16" spans="1:27">
      <c r="B16" s="62" t="s">
        <v>123</v>
      </c>
      <c r="C16" s="44" t="s">
        <v>122</v>
      </c>
      <c r="D16" s="37" t="s">
        <v>76</v>
      </c>
      <c r="E16" s="63">
        <v>42982</v>
      </c>
      <c r="G16" s="63">
        <v>42982</v>
      </c>
      <c r="H16" s="46" t="s">
        <v>76</v>
      </c>
      <c r="I16" s="38" t="s">
        <v>80</v>
      </c>
      <c r="J16" s="38" t="s">
        <v>74</v>
      </c>
      <c r="K16" s="78">
        <v>12</v>
      </c>
    </row>
    <row r="17" spans="1:28">
      <c r="B17" s="62" t="s">
        <v>124</v>
      </c>
      <c r="C17" s="62" t="s">
        <v>125</v>
      </c>
      <c r="D17" s="37" t="s">
        <v>76</v>
      </c>
      <c r="E17" s="63">
        <v>42982</v>
      </c>
      <c r="G17" s="63">
        <v>42982</v>
      </c>
      <c r="H17" s="46" t="s">
        <v>76</v>
      </c>
      <c r="I17" s="38" t="s">
        <v>80</v>
      </c>
      <c r="J17" s="38" t="s">
        <v>74</v>
      </c>
      <c r="K17" s="78">
        <v>15</v>
      </c>
    </row>
    <row r="18" spans="1:28" s="71" customFormat="1">
      <c r="A18" s="36"/>
      <c r="B18" s="62" t="s">
        <v>126</v>
      </c>
      <c r="C18" s="37" t="s">
        <v>127</v>
      </c>
      <c r="D18" s="37" t="s">
        <v>76</v>
      </c>
      <c r="E18" s="63">
        <v>42982</v>
      </c>
      <c r="F18" s="63"/>
      <c r="G18" s="63">
        <v>42982</v>
      </c>
      <c r="H18" s="46" t="s">
        <v>76</v>
      </c>
      <c r="I18" s="38" t="s">
        <v>80</v>
      </c>
      <c r="J18" s="38" t="s">
        <v>74</v>
      </c>
      <c r="K18" s="78">
        <v>15</v>
      </c>
      <c r="L18" s="65"/>
      <c r="M18" s="66"/>
      <c r="N18" s="62"/>
      <c r="O18" s="39"/>
      <c r="P18" s="39"/>
      <c r="Q18" s="63"/>
      <c r="R18" s="40"/>
      <c r="S18" s="40"/>
      <c r="T18" s="41"/>
      <c r="U18" s="66"/>
      <c r="V18" s="66"/>
      <c r="W18" s="66"/>
      <c r="X18" s="66"/>
      <c r="Y18" s="66"/>
      <c r="Z18" s="66"/>
      <c r="AA18" s="43"/>
      <c r="AB18" s="43"/>
    </row>
    <row r="19" spans="1:28" s="71" customFormat="1">
      <c r="A19" s="36"/>
      <c r="B19" s="62" t="s">
        <v>128</v>
      </c>
      <c r="C19" s="37" t="s">
        <v>129</v>
      </c>
      <c r="D19" s="37" t="s">
        <v>76</v>
      </c>
      <c r="E19" s="63">
        <v>42982</v>
      </c>
      <c r="F19" s="63"/>
      <c r="G19" s="63">
        <v>42982</v>
      </c>
      <c r="H19" s="46" t="s">
        <v>76</v>
      </c>
      <c r="I19" s="38" t="s">
        <v>80</v>
      </c>
      <c r="J19" s="38" t="s">
        <v>74</v>
      </c>
      <c r="K19" s="78">
        <v>15</v>
      </c>
      <c r="L19" s="65"/>
      <c r="M19" s="66"/>
      <c r="N19" s="62"/>
      <c r="O19" s="39"/>
      <c r="P19" s="39"/>
      <c r="Q19" s="63"/>
      <c r="R19" s="40"/>
      <c r="S19" s="40"/>
      <c r="T19" s="41"/>
      <c r="U19" s="66"/>
      <c r="V19" s="66"/>
      <c r="W19" s="66"/>
      <c r="X19" s="66"/>
      <c r="Y19" s="66"/>
      <c r="Z19" s="66"/>
      <c r="AA19" s="43"/>
      <c r="AB19" s="43"/>
    </row>
    <row r="20" spans="1:28">
      <c r="B20" s="62" t="s">
        <v>130</v>
      </c>
      <c r="C20" s="37" t="s">
        <v>131</v>
      </c>
      <c r="D20" s="37" t="s">
        <v>76</v>
      </c>
      <c r="E20" s="63">
        <v>42982</v>
      </c>
      <c r="G20" s="49">
        <v>42982</v>
      </c>
      <c r="H20" s="46" t="s">
        <v>76</v>
      </c>
      <c r="I20" s="38" t="s">
        <v>80</v>
      </c>
      <c r="J20" s="38" t="s">
        <v>74</v>
      </c>
      <c r="K20" s="78">
        <v>12</v>
      </c>
      <c r="N20" s="66"/>
      <c r="O20" s="62"/>
      <c r="P20" s="39"/>
    </row>
    <row r="21" spans="1:28">
      <c r="B21" s="62" t="s">
        <v>132</v>
      </c>
      <c r="C21" s="37" t="s">
        <v>133</v>
      </c>
      <c r="D21" s="37" t="s">
        <v>76</v>
      </c>
      <c r="E21" s="63">
        <v>42982</v>
      </c>
      <c r="G21" s="49">
        <v>42982</v>
      </c>
      <c r="H21" s="46" t="s">
        <v>76</v>
      </c>
      <c r="I21" s="38" t="s">
        <v>80</v>
      </c>
      <c r="J21" s="38" t="s">
        <v>74</v>
      </c>
      <c r="K21" s="78">
        <v>10</v>
      </c>
      <c r="N21" s="66"/>
      <c r="O21" s="62"/>
      <c r="P21" s="39"/>
    </row>
    <row r="22" spans="1:28">
      <c r="B22" s="62" t="s">
        <v>134</v>
      </c>
      <c r="C22" s="37" t="s">
        <v>135</v>
      </c>
      <c r="D22" s="37" t="s">
        <v>76</v>
      </c>
      <c r="E22" s="63">
        <v>42982</v>
      </c>
      <c r="G22" s="49">
        <v>42982</v>
      </c>
      <c r="H22" s="46" t="s">
        <v>76</v>
      </c>
      <c r="I22" s="38" t="s">
        <v>80</v>
      </c>
      <c r="J22" s="38" t="s">
        <v>74</v>
      </c>
      <c r="K22" s="78">
        <v>25</v>
      </c>
      <c r="N22" s="66"/>
      <c r="O22" s="62"/>
      <c r="P22" s="39"/>
    </row>
    <row r="23" spans="1:28">
      <c r="B23" s="62" t="s">
        <v>136</v>
      </c>
      <c r="C23" s="37" t="s">
        <v>137</v>
      </c>
      <c r="D23" s="37" t="s">
        <v>76</v>
      </c>
      <c r="E23" s="49">
        <v>42982</v>
      </c>
      <c r="G23" s="49">
        <v>42982</v>
      </c>
      <c r="H23" s="46" t="s">
        <v>76</v>
      </c>
      <c r="I23" s="38" t="s">
        <v>80</v>
      </c>
      <c r="J23" s="38" t="s">
        <v>74</v>
      </c>
      <c r="K23" s="78">
        <v>20</v>
      </c>
      <c r="N23" s="66"/>
      <c r="O23" s="62"/>
      <c r="P23" s="39"/>
      <c r="W23" s="72"/>
    </row>
    <row r="24" spans="1:28">
      <c r="B24" s="62" t="s">
        <v>138</v>
      </c>
      <c r="C24" s="37" t="s">
        <v>139</v>
      </c>
      <c r="D24" s="37" t="s">
        <v>76</v>
      </c>
      <c r="E24" s="49">
        <v>42982</v>
      </c>
      <c r="G24" s="49">
        <v>42982</v>
      </c>
      <c r="H24" s="46" t="s">
        <v>76</v>
      </c>
      <c r="I24" s="38" t="s">
        <v>80</v>
      </c>
      <c r="J24" s="38" t="s">
        <v>74</v>
      </c>
      <c r="K24" s="78">
        <v>20</v>
      </c>
      <c r="N24" s="66"/>
      <c r="O24" s="62"/>
      <c r="P24" s="39"/>
      <c r="W24" s="72"/>
    </row>
    <row r="25" spans="1:28">
      <c r="B25" s="62" t="s">
        <v>140</v>
      </c>
      <c r="C25" s="37" t="s">
        <v>141</v>
      </c>
      <c r="D25" s="37" t="s">
        <v>76</v>
      </c>
      <c r="E25" s="49">
        <v>42982</v>
      </c>
      <c r="G25" s="49">
        <v>42982</v>
      </c>
      <c r="H25" s="46" t="s">
        <v>76</v>
      </c>
      <c r="I25" s="38" t="s">
        <v>80</v>
      </c>
      <c r="J25" s="38" t="s">
        <v>74</v>
      </c>
      <c r="K25" s="76">
        <v>12</v>
      </c>
      <c r="N25" s="66"/>
      <c r="O25" s="62"/>
      <c r="P25" s="39"/>
      <c r="W25" s="72"/>
    </row>
    <row r="26" spans="1:28" ht="25.5">
      <c r="B26" s="62" t="s">
        <v>142</v>
      </c>
      <c r="C26" s="37" t="s">
        <v>143</v>
      </c>
      <c r="D26" s="37" t="s">
        <v>76</v>
      </c>
      <c r="E26" s="49">
        <v>42982</v>
      </c>
      <c r="G26" s="49">
        <v>42982</v>
      </c>
      <c r="H26" s="46" t="s">
        <v>76</v>
      </c>
      <c r="I26" s="38" t="s">
        <v>80</v>
      </c>
      <c r="J26" s="38" t="s">
        <v>74</v>
      </c>
      <c r="K26" s="76">
        <v>12</v>
      </c>
      <c r="N26" s="66"/>
      <c r="O26" s="62"/>
      <c r="P26" s="39"/>
      <c r="W26" s="72"/>
      <c r="X26" s="61"/>
    </row>
    <row r="27" spans="1:28">
      <c r="B27" s="62" t="s">
        <v>144</v>
      </c>
      <c r="C27" s="37" t="s">
        <v>145</v>
      </c>
      <c r="D27" s="37" t="s">
        <v>76</v>
      </c>
      <c r="E27" s="49">
        <v>42982</v>
      </c>
      <c r="G27" s="49">
        <v>42982</v>
      </c>
      <c r="H27" s="46" t="s">
        <v>76</v>
      </c>
      <c r="I27" s="38" t="s">
        <v>80</v>
      </c>
      <c r="J27" s="38" t="s">
        <v>74</v>
      </c>
      <c r="K27" s="76">
        <v>12</v>
      </c>
      <c r="N27" s="66"/>
      <c r="O27" s="62"/>
      <c r="P27" s="39"/>
      <c r="W27" s="72"/>
      <c r="X27" s="61"/>
    </row>
    <row r="28" spans="1:28" s="71" customFormat="1" ht="25.5">
      <c r="A28" s="36"/>
      <c r="B28" s="62" t="s">
        <v>146</v>
      </c>
      <c r="C28" s="37" t="s">
        <v>147</v>
      </c>
      <c r="D28" s="37" t="s">
        <v>76</v>
      </c>
      <c r="E28" s="63">
        <v>42982</v>
      </c>
      <c r="F28" s="63"/>
      <c r="G28" s="63">
        <v>42982</v>
      </c>
      <c r="H28" s="46" t="s">
        <v>76</v>
      </c>
      <c r="I28" s="38" t="s">
        <v>80</v>
      </c>
      <c r="J28" s="38" t="s">
        <v>74</v>
      </c>
      <c r="K28" s="76">
        <v>12</v>
      </c>
      <c r="L28" s="65"/>
      <c r="M28" s="66"/>
      <c r="N28" s="62"/>
      <c r="O28" s="39"/>
      <c r="P28" s="39"/>
      <c r="Q28" s="63"/>
      <c r="R28" s="40"/>
      <c r="S28" s="40"/>
      <c r="T28" s="41"/>
      <c r="U28" s="42"/>
      <c r="V28" s="66"/>
      <c r="W28" s="66"/>
      <c r="X28" s="61"/>
      <c r="Y28" s="66"/>
      <c r="Z28" s="66"/>
      <c r="AA28" s="43"/>
      <c r="AB28" s="43"/>
    </row>
    <row r="29" spans="1:28" s="71" customFormat="1">
      <c r="A29" s="36"/>
      <c r="B29" s="62" t="s">
        <v>148</v>
      </c>
      <c r="C29" s="37" t="s">
        <v>149</v>
      </c>
      <c r="D29" s="37" t="s">
        <v>76</v>
      </c>
      <c r="E29" s="63">
        <v>42982</v>
      </c>
      <c r="F29" s="63"/>
      <c r="G29" s="63">
        <v>42982</v>
      </c>
      <c r="H29" s="46" t="s">
        <v>76</v>
      </c>
      <c r="I29" s="38" t="s">
        <v>80</v>
      </c>
      <c r="J29" s="38" t="s">
        <v>74</v>
      </c>
      <c r="K29" s="76">
        <v>12</v>
      </c>
      <c r="L29" s="65"/>
      <c r="M29" s="66"/>
      <c r="N29" s="62"/>
      <c r="O29" s="39"/>
      <c r="P29" s="39"/>
      <c r="Q29" s="63"/>
      <c r="R29" s="40"/>
      <c r="S29" s="40"/>
      <c r="T29" s="41"/>
      <c r="U29" s="42"/>
      <c r="V29" s="66"/>
      <c r="W29" s="66"/>
      <c r="X29" s="61"/>
      <c r="Y29" s="66"/>
      <c r="Z29" s="66"/>
      <c r="AA29" s="43"/>
      <c r="AB29" s="43"/>
    </row>
    <row r="30" spans="1:28">
      <c r="B30" s="62" t="s">
        <v>150</v>
      </c>
      <c r="C30" s="37" t="s">
        <v>151</v>
      </c>
      <c r="D30" s="37" t="s">
        <v>76</v>
      </c>
      <c r="E30" s="63">
        <v>42982</v>
      </c>
      <c r="F30" s="63"/>
      <c r="G30" s="63">
        <v>42982</v>
      </c>
      <c r="H30" s="46" t="s">
        <v>76</v>
      </c>
      <c r="I30" s="38" t="s">
        <v>80</v>
      </c>
      <c r="J30" s="38" t="s">
        <v>74</v>
      </c>
      <c r="K30" s="76">
        <v>12</v>
      </c>
      <c r="P30" s="39"/>
      <c r="X30" s="61"/>
    </row>
    <row r="31" spans="1:28">
      <c r="B31" s="62" t="s">
        <v>152</v>
      </c>
      <c r="C31" s="37" t="s">
        <v>153</v>
      </c>
      <c r="D31" s="37" t="s">
        <v>76</v>
      </c>
      <c r="E31" s="63">
        <v>42982</v>
      </c>
      <c r="F31" s="63"/>
      <c r="G31" s="63">
        <v>42982</v>
      </c>
      <c r="H31" s="46" t="s">
        <v>76</v>
      </c>
      <c r="I31" s="38" t="s">
        <v>80</v>
      </c>
      <c r="J31" s="38" t="s">
        <v>74</v>
      </c>
      <c r="K31" s="76">
        <v>12</v>
      </c>
      <c r="P31" s="39"/>
      <c r="X31" s="61"/>
    </row>
    <row r="32" spans="1:28">
      <c r="B32" s="62" t="s">
        <v>154</v>
      </c>
      <c r="C32" s="37" t="s">
        <v>155</v>
      </c>
      <c r="D32" s="37" t="s">
        <v>76</v>
      </c>
      <c r="E32" s="49">
        <v>42982</v>
      </c>
      <c r="G32" s="49">
        <v>42982</v>
      </c>
      <c r="H32" s="46" t="s">
        <v>76</v>
      </c>
      <c r="I32" s="38" t="s">
        <v>80</v>
      </c>
      <c r="J32" s="38" t="s">
        <v>74</v>
      </c>
      <c r="K32" s="76">
        <v>12</v>
      </c>
      <c r="P32" s="39"/>
      <c r="W32" s="72"/>
      <c r="X32" s="61"/>
    </row>
    <row r="33" spans="1:28" ht="25.5">
      <c r="B33" s="62" t="s">
        <v>156</v>
      </c>
      <c r="C33" s="37" t="s">
        <v>157</v>
      </c>
      <c r="D33" s="37" t="s">
        <v>76</v>
      </c>
      <c r="E33" s="49">
        <v>42982</v>
      </c>
      <c r="G33" s="49">
        <v>42982</v>
      </c>
      <c r="H33" s="46" t="s">
        <v>76</v>
      </c>
      <c r="I33" s="38" t="s">
        <v>80</v>
      </c>
      <c r="J33" s="38" t="s">
        <v>74</v>
      </c>
      <c r="K33" s="76">
        <v>15</v>
      </c>
      <c r="P33" s="39"/>
      <c r="W33" s="72"/>
      <c r="X33" s="61"/>
    </row>
    <row r="34" spans="1:28">
      <c r="B34" s="62" t="s">
        <v>158</v>
      </c>
      <c r="C34" s="37" t="s">
        <v>159</v>
      </c>
      <c r="D34" s="37" t="s">
        <v>76</v>
      </c>
      <c r="E34" s="49">
        <v>42982</v>
      </c>
      <c r="G34" s="49">
        <v>42982</v>
      </c>
      <c r="H34" s="46" t="s">
        <v>76</v>
      </c>
      <c r="I34" s="38" t="s">
        <v>80</v>
      </c>
      <c r="J34" s="38" t="s">
        <v>74</v>
      </c>
      <c r="K34" s="76">
        <v>15</v>
      </c>
      <c r="P34" s="39"/>
      <c r="W34" s="72"/>
      <c r="X34" s="61"/>
    </row>
    <row r="35" spans="1:28">
      <c r="B35" s="77" t="s">
        <v>177</v>
      </c>
      <c r="C35" s="37"/>
      <c r="D35" s="37" t="s">
        <v>76</v>
      </c>
      <c r="E35" s="49">
        <v>42982</v>
      </c>
      <c r="G35" s="49">
        <v>42982</v>
      </c>
      <c r="H35" s="46" t="s">
        <v>76</v>
      </c>
      <c r="I35" s="38" t="s">
        <v>80</v>
      </c>
      <c r="J35" s="38" t="s">
        <v>74</v>
      </c>
      <c r="K35" s="76">
        <v>20</v>
      </c>
      <c r="P35" s="39"/>
      <c r="W35" s="72"/>
      <c r="X35" s="61"/>
    </row>
    <row r="36" spans="1:28">
      <c r="B36" s="77" t="s">
        <v>178</v>
      </c>
      <c r="C36" s="37"/>
      <c r="D36" s="37" t="s">
        <v>76</v>
      </c>
      <c r="E36" s="63">
        <v>42982</v>
      </c>
      <c r="F36" s="63"/>
      <c r="G36" s="63">
        <v>42982</v>
      </c>
      <c r="H36" s="46" t="s">
        <v>76</v>
      </c>
      <c r="I36" s="38" t="s">
        <v>80</v>
      </c>
      <c r="J36" s="38" t="s">
        <v>74</v>
      </c>
      <c r="K36" s="76">
        <v>40</v>
      </c>
      <c r="X36" s="61"/>
    </row>
    <row r="37" spans="1:28">
      <c r="B37" s="62" t="s">
        <v>160</v>
      </c>
      <c r="C37" s="37"/>
      <c r="D37" s="37" t="s">
        <v>76</v>
      </c>
      <c r="E37" s="49">
        <v>42982</v>
      </c>
      <c r="G37" s="49">
        <v>42982</v>
      </c>
      <c r="H37" s="46" t="s">
        <v>76</v>
      </c>
      <c r="I37" s="38" t="s">
        <v>80</v>
      </c>
      <c r="J37" s="38" t="s">
        <v>74</v>
      </c>
      <c r="K37" s="76">
        <v>40</v>
      </c>
      <c r="P37" s="39"/>
      <c r="X37" s="61"/>
    </row>
    <row r="38" spans="1:28" s="71" customFormat="1">
      <c r="A38" s="36"/>
      <c r="B38" s="62" t="s">
        <v>161</v>
      </c>
      <c r="C38" s="37"/>
      <c r="D38" s="37" t="s">
        <v>76</v>
      </c>
      <c r="E38" s="63">
        <v>42982</v>
      </c>
      <c r="F38" s="63"/>
      <c r="G38" s="63">
        <v>42982</v>
      </c>
      <c r="H38" s="46" t="s">
        <v>76</v>
      </c>
      <c r="I38" s="38" t="s">
        <v>80</v>
      </c>
      <c r="J38" s="38" t="s">
        <v>74</v>
      </c>
      <c r="K38" s="76">
        <v>30</v>
      </c>
      <c r="L38" s="65"/>
      <c r="M38" s="66"/>
      <c r="N38" s="62"/>
      <c r="O38" s="39"/>
      <c r="P38" s="39"/>
      <c r="Q38" s="63"/>
      <c r="R38" s="40"/>
      <c r="S38" s="40"/>
      <c r="T38" s="41"/>
      <c r="U38" s="42"/>
      <c r="V38" s="66"/>
      <c r="W38" s="66"/>
      <c r="X38" s="61"/>
      <c r="Y38" s="66"/>
      <c r="Z38" s="66"/>
      <c r="AA38" s="43"/>
      <c r="AB38" s="43"/>
    </row>
    <row r="39" spans="1:28">
      <c r="B39" s="62" t="s">
        <v>162</v>
      </c>
      <c r="C39" s="37"/>
      <c r="D39" s="37" t="s">
        <v>76</v>
      </c>
      <c r="E39" s="63">
        <v>42982</v>
      </c>
      <c r="F39" s="63"/>
      <c r="G39" s="63">
        <v>42982</v>
      </c>
      <c r="H39" s="46" t="s">
        <v>76</v>
      </c>
      <c r="I39" s="38" t="s">
        <v>80</v>
      </c>
      <c r="J39" s="38" t="s">
        <v>74</v>
      </c>
      <c r="K39" s="76">
        <v>50</v>
      </c>
      <c r="P39" s="39"/>
      <c r="W39" s="72"/>
      <c r="X39" s="61"/>
    </row>
    <row r="40" spans="1:28" ht="24.75">
      <c r="B40" s="62" t="s">
        <v>175</v>
      </c>
      <c r="C40" s="37"/>
      <c r="E40" s="63"/>
      <c r="K40" s="76">
        <v>30</v>
      </c>
      <c r="P40" s="39"/>
      <c r="W40" s="72"/>
      <c r="X40" s="61"/>
    </row>
    <row r="41" spans="1:28">
      <c r="B41" s="77"/>
      <c r="C41" s="37"/>
      <c r="E41" s="63"/>
      <c r="K41" s="76"/>
      <c r="P41" s="39"/>
      <c r="W41" s="72"/>
      <c r="X41" s="61"/>
    </row>
    <row r="42" spans="1:28">
      <c r="C42" s="37"/>
      <c r="E42" s="63"/>
      <c r="K42" s="64"/>
      <c r="P42" s="39"/>
      <c r="X42" s="61"/>
    </row>
    <row r="43" spans="1:28">
      <c r="C43" s="37"/>
      <c r="K43" s="64"/>
      <c r="X43" s="61"/>
    </row>
    <row r="44" spans="1:28">
      <c r="C44" s="37"/>
      <c r="E44" s="63"/>
      <c r="F44" s="63"/>
      <c r="K44" s="64"/>
      <c r="X44" s="61"/>
    </row>
    <row r="45" spans="1:28">
      <c r="C45" s="37"/>
      <c r="E45" s="63"/>
      <c r="F45" s="63"/>
      <c r="K45" s="64"/>
      <c r="X45" s="61"/>
    </row>
    <row r="46" spans="1:28">
      <c r="E46" s="63"/>
      <c r="F46" s="63"/>
      <c r="K46" s="64"/>
      <c r="W46" s="72"/>
      <c r="X46" s="61"/>
    </row>
    <row r="47" spans="1:28">
      <c r="E47" s="63"/>
      <c r="F47" s="63"/>
      <c r="K47" s="64"/>
      <c r="W47" s="72"/>
      <c r="X47" s="61"/>
    </row>
    <row r="48" spans="1:28">
      <c r="E48" s="63"/>
      <c r="F48" s="63"/>
      <c r="K48" s="64"/>
      <c r="W48" s="72"/>
      <c r="X48" s="61"/>
    </row>
    <row r="49" spans="4:24">
      <c r="E49" s="63"/>
      <c r="F49" s="63"/>
      <c r="K49" s="64"/>
      <c r="W49" s="72"/>
      <c r="X49" s="61"/>
    </row>
    <row r="50" spans="4:24">
      <c r="E50" s="63"/>
      <c r="F50" s="63"/>
      <c r="K50" s="64"/>
      <c r="W50" s="72"/>
      <c r="X50" s="61"/>
    </row>
    <row r="51" spans="4:24">
      <c r="E51" s="63"/>
      <c r="F51" s="63"/>
      <c r="K51" s="64"/>
      <c r="W51" s="72"/>
      <c r="X51" s="61"/>
    </row>
    <row r="52" spans="4:24">
      <c r="E52" s="63"/>
      <c r="F52" s="63"/>
      <c r="K52" s="64"/>
      <c r="W52" s="72"/>
      <c r="X52" s="61"/>
    </row>
    <row r="53" spans="4:24">
      <c r="E53" s="63"/>
      <c r="F53" s="63"/>
      <c r="K53" s="64"/>
      <c r="W53" s="72"/>
      <c r="X53" s="61"/>
    </row>
    <row r="54" spans="4:24">
      <c r="D54" s="46"/>
      <c r="E54" s="63"/>
      <c r="F54" s="63"/>
      <c r="K54" s="64"/>
      <c r="W54" s="72"/>
      <c r="X54" s="61"/>
    </row>
    <row r="55" spans="4:24">
      <c r="D55" s="46"/>
      <c r="E55" s="63"/>
      <c r="F55" s="63"/>
      <c r="K55" s="64"/>
      <c r="W55" s="72"/>
      <c r="X55" s="61"/>
    </row>
    <row r="56" spans="4:24">
      <c r="D56" s="46"/>
      <c r="E56" s="63"/>
      <c r="F56" s="63"/>
      <c r="X56" s="61"/>
    </row>
    <row r="57" spans="4:24">
      <c r="D57" s="46"/>
      <c r="E57" s="63"/>
      <c r="F57" s="63"/>
      <c r="X57" s="61"/>
    </row>
    <row r="58" spans="4:24">
      <c r="D58" s="46"/>
      <c r="E58" s="63"/>
      <c r="F58" s="63"/>
      <c r="X58" s="61"/>
    </row>
    <row r="59" spans="4:24">
      <c r="D59" s="46"/>
      <c r="E59" s="63"/>
      <c r="F59" s="63"/>
      <c r="X59" s="61"/>
    </row>
    <row r="60" spans="4:24">
      <c r="X60" s="61"/>
    </row>
    <row r="61" spans="4:24">
      <c r="X61" s="61"/>
    </row>
    <row r="62" spans="4:24">
      <c r="X62" s="61"/>
    </row>
    <row r="63" spans="4:24">
      <c r="X63" s="61"/>
    </row>
  </sheetData>
  <autoFilter ref="A1:AB68"/>
  <phoneticPr fontId="2" type="noConversion"/>
  <dataValidations count="10">
    <dataValidation type="list" allowBlank="1" showInputMessage="1" showErrorMessage="1" sqref="U2:U14 AB18:AB19 W18:W19 W28:W29 AB28:AB29 AB38 W38 R1:R1048576">
      <formula1>"是,否"</formula1>
    </dataValidation>
    <dataValidation type="list" allowBlank="1" showInputMessage="1" showErrorMessage="1" sqref="Z1:Z17 Z20:Z27 Z39:Z1048576 Z30:Z37">
      <formula1>"是，否"</formula1>
    </dataValidation>
    <dataValidation type="list" allowBlank="1" showInputMessage="1" showErrorMessage="1" sqref="N15:N19 O20:O27 N4 N28:N1048576">
      <formula1>"正常需求,客户CR,SA问题,解决方案问题,内部安全整改,部件问题"</formula1>
    </dataValidation>
    <dataValidation type="list" allowBlank="1" showInputMessage="1" showErrorMessage="1" sqref="N2:N3 N5:N14">
      <formula1>"正常需求,客户CR,SA问题,解决方案问题,安全需求/问题,部件问题,内部安全整改"</formula1>
    </dataValidation>
    <dataValidation type="list" allowBlank="1" showInputMessage="1" showErrorMessage="1" sqref="H5:H14 H1">
      <formula1>需求处理人</formula1>
    </dataValidation>
    <dataValidation type="list" allowBlank="1" showInputMessage="1" showErrorMessage="1" sqref="J1">
      <formula1>"游戏,视频"</formula1>
    </dataValidation>
    <dataValidation type="list" allowBlank="1" showInputMessage="1" showErrorMessage="1" sqref="Q1:Q1048576">
      <formula1>"是,否,免"</formula1>
    </dataValidation>
    <dataValidation type="list" allowBlank="1" showInputMessage="1" showErrorMessage="1" sqref="L1:L1048576">
      <formula1>"01 定期审视, 02 接纳|现有版本特性已经满足该需求,02 接纳|组织方案设计, 02 接纳|此前已接纳类似需求，需求单号详见结论意见, 03 退回|需求不清晰，需要提交人补充, 03 退回|不接纳，详见结论意见,03 退回|请提交网上问题流程处理"</formula1>
    </dataValidation>
    <dataValidation type="list" allowBlank="1" showInputMessage="1" showErrorMessage="1" sqref="I1:I1048576">
      <formula1>"功能 Function, 内部优化"</formula1>
    </dataValidation>
    <dataValidation type="list" allowBlank="1" showInputMessage="1" showErrorMessage="1" sqref="J2:J1048576">
      <formula1>"游戏, 视频"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[1]常量值!#REF!</xm:f>
          </x14:formula1>
          <xm:sqref>H18:H19 H28:H31 H38:H39 H44:H45 H36 H56:H59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workbookViewId="0">
      <selection activeCell="F14" sqref="F14"/>
    </sheetView>
  </sheetViews>
  <sheetFormatPr defaultRowHeight="15"/>
  <cols>
    <col min="1" max="1" width="10.21875" customWidth="1"/>
    <col min="3" max="3" width="13.109375" customWidth="1"/>
    <col min="4" max="4" width="9.6640625" customWidth="1"/>
    <col min="6" max="6" width="16.6640625" customWidth="1"/>
    <col min="7" max="7" width="14.88671875" customWidth="1"/>
    <col min="8" max="8" width="16.6640625" customWidth="1"/>
    <col min="9" max="9" width="19.109375" customWidth="1"/>
    <col min="10" max="10" width="20.6640625" customWidth="1"/>
    <col min="11" max="11" width="13.44140625" customWidth="1"/>
  </cols>
  <sheetData>
    <row r="1" spans="1:11">
      <c r="A1" t="s">
        <v>96</v>
      </c>
      <c r="B1" t="s">
        <v>72</v>
      </c>
      <c r="C1" t="s">
        <v>97</v>
      </c>
      <c r="D1" t="s">
        <v>98</v>
      </c>
      <c r="E1" t="s">
        <v>99</v>
      </c>
      <c r="F1" t="s">
        <v>82</v>
      </c>
      <c r="G1" t="s">
        <v>83</v>
      </c>
      <c r="H1" t="s">
        <v>84</v>
      </c>
      <c r="I1" t="s">
        <v>85</v>
      </c>
      <c r="J1" t="s">
        <v>100</v>
      </c>
      <c r="K1" t="s">
        <v>101</v>
      </c>
    </row>
    <row r="2" spans="1:11">
      <c r="A2" t="s">
        <v>80</v>
      </c>
      <c r="B2" t="s">
        <v>75</v>
      </c>
      <c r="C2" t="s">
        <v>94</v>
      </c>
      <c r="F2" t="s">
        <v>56</v>
      </c>
      <c r="G2" t="s">
        <v>90</v>
      </c>
      <c r="H2" t="s">
        <v>90</v>
      </c>
      <c r="I2" t="s">
        <v>86</v>
      </c>
    </row>
    <row r="3" spans="1:11">
      <c r="A3" t="s">
        <v>80</v>
      </c>
      <c r="B3" t="s">
        <v>75</v>
      </c>
      <c r="C3" t="s">
        <v>94</v>
      </c>
      <c r="F3" t="s">
        <v>56</v>
      </c>
      <c r="G3" t="s">
        <v>90</v>
      </c>
      <c r="H3" t="s">
        <v>90</v>
      </c>
      <c r="I3" t="s">
        <v>86</v>
      </c>
    </row>
    <row r="4" spans="1:11">
      <c r="A4" t="s">
        <v>80</v>
      </c>
      <c r="B4" t="s">
        <v>75</v>
      </c>
      <c r="C4" t="s">
        <v>94</v>
      </c>
      <c r="D4" t="s">
        <v>87</v>
      </c>
      <c r="F4" t="s">
        <v>56</v>
      </c>
      <c r="G4" t="s">
        <v>90</v>
      </c>
      <c r="H4" t="s">
        <v>90</v>
      </c>
      <c r="I4" t="s">
        <v>86</v>
      </c>
    </row>
    <row r="5" spans="1:11">
      <c r="A5" t="s">
        <v>80</v>
      </c>
      <c r="B5" t="s">
        <v>75</v>
      </c>
      <c r="C5" t="s">
        <v>94</v>
      </c>
      <c r="D5" t="s">
        <v>87</v>
      </c>
      <c r="E5" t="s">
        <v>91</v>
      </c>
      <c r="F5" t="s">
        <v>56</v>
      </c>
      <c r="G5" t="s">
        <v>90</v>
      </c>
      <c r="H5" t="s">
        <v>90</v>
      </c>
      <c r="I5" t="s">
        <v>86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sqref="A1:K2"/>
    </sheetView>
  </sheetViews>
  <sheetFormatPr defaultRowHeight="15"/>
  <cols>
    <col min="1" max="1" width="10.21875" customWidth="1"/>
    <col min="3" max="3" width="13.109375" customWidth="1"/>
    <col min="4" max="4" width="9.6640625" customWidth="1"/>
    <col min="6" max="6" width="16.6640625" customWidth="1"/>
    <col min="7" max="7" width="14.88671875" customWidth="1"/>
    <col min="8" max="8" width="16.6640625" customWidth="1"/>
    <col min="9" max="9" width="19.109375" customWidth="1"/>
    <col min="10" max="10" width="20.6640625" customWidth="1"/>
    <col min="11" max="11" width="13.44140625" customWidth="1"/>
  </cols>
  <sheetData>
    <row r="1" spans="1:11">
      <c r="A1" t="s">
        <v>96</v>
      </c>
      <c r="B1" t="s">
        <v>72</v>
      </c>
      <c r="C1" t="s">
        <v>97</v>
      </c>
      <c r="D1" t="s">
        <v>98</v>
      </c>
      <c r="E1" t="s">
        <v>99</v>
      </c>
      <c r="F1" t="s">
        <v>82</v>
      </c>
      <c r="G1" t="s">
        <v>83</v>
      </c>
      <c r="H1" t="s">
        <v>84</v>
      </c>
      <c r="I1" t="s">
        <v>85</v>
      </c>
      <c r="J1" t="s">
        <v>100</v>
      </c>
      <c r="K1" t="s">
        <v>101</v>
      </c>
    </row>
    <row r="2" spans="1:11">
      <c r="A2" t="s">
        <v>89</v>
      </c>
      <c r="B2" t="s">
        <v>75</v>
      </c>
      <c r="C2">
        <v>22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8"/>
  <sheetViews>
    <sheetView workbookViewId="0">
      <selection activeCell="D15" sqref="D15"/>
    </sheetView>
  </sheetViews>
  <sheetFormatPr defaultRowHeight="15"/>
  <cols>
    <col min="1" max="1" width="23.88671875" customWidth="1"/>
    <col min="2" max="2" width="14.88671875" style="6" customWidth="1"/>
    <col min="3" max="3" width="5.6640625" style="6" customWidth="1"/>
    <col min="4" max="4" width="16.109375" customWidth="1"/>
    <col min="5" max="6" width="12.33203125" bestFit="1" customWidth="1"/>
    <col min="214" max="950" width="67.6640625" bestFit="1" customWidth="1"/>
    <col min="951" max="951" width="4.77734375" customWidth="1"/>
  </cols>
  <sheetData>
    <row r="1" spans="1:4">
      <c r="B1"/>
      <c r="C1"/>
    </row>
    <row r="2" spans="1:4">
      <c r="B2"/>
      <c r="C2"/>
    </row>
    <row r="3" spans="1:4">
      <c r="B3"/>
      <c r="C3"/>
    </row>
    <row r="4" spans="1:4">
      <c r="B4"/>
      <c r="C4"/>
    </row>
    <row r="5" spans="1:4">
      <c r="A5" s="3" t="s">
        <v>62</v>
      </c>
      <c r="B5" t="s">
        <v>95</v>
      </c>
      <c r="C5"/>
    </row>
    <row r="6" spans="1:4">
      <c r="A6" s="4" t="s">
        <v>75</v>
      </c>
      <c r="B6" s="60"/>
      <c r="C6"/>
    </row>
    <row r="7" spans="1:4">
      <c r="A7" s="29" t="s">
        <v>80</v>
      </c>
      <c r="B7" s="60">
        <v>4</v>
      </c>
      <c r="C7"/>
      <c r="D7" s="18"/>
    </row>
    <row r="8" spans="1:4">
      <c r="A8" s="29" t="s">
        <v>89</v>
      </c>
      <c r="B8" s="60">
        <v>1</v>
      </c>
      <c r="C8"/>
      <c r="D8" s="4"/>
    </row>
    <row r="9" spans="1:4">
      <c r="A9" s="4" t="s">
        <v>74</v>
      </c>
      <c r="B9" s="60"/>
      <c r="C9"/>
      <c r="D9" s="29"/>
    </row>
    <row r="10" spans="1:4">
      <c r="A10" s="29" t="s">
        <v>80</v>
      </c>
      <c r="B10" s="60">
        <v>14</v>
      </c>
      <c r="C10"/>
      <c r="D10" s="29"/>
    </row>
    <row r="11" spans="1:4">
      <c r="A11" s="29" t="s">
        <v>93</v>
      </c>
      <c r="B11" s="60">
        <v>4</v>
      </c>
      <c r="C11"/>
      <c r="D11" s="4"/>
    </row>
    <row r="12" spans="1:4">
      <c r="A12" s="29" t="s">
        <v>89</v>
      </c>
      <c r="B12" s="60">
        <v>5</v>
      </c>
      <c r="C12"/>
      <c r="D12" s="29"/>
    </row>
    <row r="13" spans="1:4">
      <c r="A13" s="4" t="s">
        <v>61</v>
      </c>
      <c r="B13" s="60"/>
      <c r="C13"/>
      <c r="D13" s="29"/>
    </row>
    <row r="14" spans="1:4">
      <c r="A14" s="29" t="s">
        <v>61</v>
      </c>
      <c r="B14" s="60"/>
      <c r="C14"/>
      <c r="D14" s="29"/>
    </row>
    <row r="15" spans="1:4">
      <c r="A15" s="4" t="s">
        <v>1</v>
      </c>
      <c r="B15" s="60">
        <v>28</v>
      </c>
      <c r="C15"/>
      <c r="D15" s="4"/>
    </row>
    <row r="16" spans="1:4">
      <c r="B16"/>
      <c r="C16"/>
      <c r="D16" s="29"/>
    </row>
    <row r="17" spans="2:4">
      <c r="B17"/>
      <c r="C17"/>
      <c r="D17" s="4"/>
    </row>
    <row r="18" spans="2:4">
      <c r="B18"/>
      <c r="C1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8"/>
  <sheetViews>
    <sheetView zoomScale="85" zoomScaleNormal="85" workbookViewId="0">
      <selection activeCell="A3" sqref="A3"/>
    </sheetView>
  </sheetViews>
  <sheetFormatPr defaultRowHeight="15"/>
  <cols>
    <col min="1" max="1" width="11" style="31" bestFit="1" customWidth="1"/>
    <col min="2" max="2" width="8" style="30" customWidth="1"/>
    <col min="3" max="3" width="6.5546875" customWidth="1"/>
    <col min="4" max="4" width="6.44140625" customWidth="1"/>
    <col min="5" max="5" width="8.33203125" customWidth="1"/>
    <col min="6" max="7" width="5.44140625" customWidth="1"/>
    <col min="8" max="8" width="9.6640625" customWidth="1"/>
    <col min="9" max="10" width="5.44140625" customWidth="1"/>
    <col min="11" max="11" width="6.5546875" customWidth="1"/>
    <col min="12" max="12" width="5.6640625" customWidth="1"/>
    <col min="13" max="13" width="15.33203125" customWidth="1"/>
    <col min="14" max="14" width="5.44140625" customWidth="1"/>
    <col min="15" max="15" width="6.44140625" customWidth="1"/>
    <col min="16" max="17" width="5.44140625" customWidth="1"/>
    <col min="18" max="18" width="8.109375" customWidth="1"/>
    <col min="19" max="19" width="11.33203125" customWidth="1"/>
    <col min="20" max="20" width="9.44140625" customWidth="1"/>
    <col min="21" max="21" width="6.6640625" customWidth="1"/>
    <col min="22" max="22" width="6.44140625" customWidth="1"/>
    <col min="23" max="23" width="7.33203125" customWidth="1"/>
    <col min="24" max="24" width="6.33203125" customWidth="1"/>
    <col min="25" max="25" width="6.21875" customWidth="1"/>
    <col min="26" max="26" width="9.5546875" customWidth="1"/>
    <col min="27" max="27" width="5.44140625" customWidth="1"/>
    <col min="28" max="28" width="8.6640625" customWidth="1"/>
    <col min="29" max="29" width="5.5546875" customWidth="1"/>
    <col min="30" max="31" width="5.44140625" customWidth="1"/>
    <col min="32" max="32" width="9.6640625" customWidth="1"/>
    <col min="33" max="33" width="5.44140625" customWidth="1"/>
    <col min="34" max="34" width="12.21875" customWidth="1"/>
    <col min="35" max="35" width="9.6640625" customWidth="1"/>
    <col min="36" max="36" width="5.44140625" customWidth="1"/>
    <col min="37" max="37" width="7.44140625" customWidth="1"/>
    <col min="38" max="70" width="38" bestFit="1" customWidth="1"/>
    <col min="71" max="71" width="19.44140625" bestFit="1" customWidth="1"/>
    <col min="72" max="72" width="41.44140625" bestFit="1" customWidth="1"/>
    <col min="73" max="74" width="7.77734375" customWidth="1"/>
    <col min="75" max="75" width="12.44140625" customWidth="1"/>
    <col min="76" max="76" width="10.21875" bestFit="1" customWidth="1"/>
    <col min="77" max="77" width="7.77734375" customWidth="1"/>
    <col min="78" max="78" width="7.88671875" customWidth="1"/>
    <col min="79" max="79" width="12.6640625" bestFit="1" customWidth="1"/>
    <col min="80" max="80" width="9.21875" bestFit="1" customWidth="1"/>
    <col min="81" max="81" width="11.5546875" bestFit="1" customWidth="1"/>
    <col min="82" max="82" width="5.77734375" customWidth="1"/>
    <col min="83" max="87" width="7.77734375" customWidth="1"/>
    <col min="88" max="89" width="7.88671875" customWidth="1"/>
    <col min="90" max="91" width="7.77734375" customWidth="1"/>
    <col min="92" max="92" width="8.109375" customWidth="1"/>
    <col min="93" max="93" width="9.77734375" bestFit="1" customWidth="1"/>
    <col min="94" max="96" width="7.77734375" customWidth="1"/>
    <col min="97" max="97" width="12.33203125" bestFit="1" customWidth="1"/>
    <col min="98" max="98" width="18.77734375" bestFit="1" customWidth="1"/>
    <col min="99" max="99" width="21.44140625" bestFit="1" customWidth="1"/>
    <col min="100" max="100" width="7.88671875" customWidth="1"/>
    <col min="101" max="101" width="9.44140625" bestFit="1" customWidth="1"/>
    <col min="102" max="102" width="12.77734375" bestFit="1" customWidth="1"/>
    <col min="103" max="103" width="15.44140625" bestFit="1" customWidth="1"/>
    <col min="104" max="104" width="9.109375" bestFit="1" customWidth="1"/>
    <col min="105" max="108" width="7.77734375" customWidth="1"/>
    <col min="109" max="110" width="7.88671875" customWidth="1"/>
    <col min="111" max="111" width="7.77734375" customWidth="1"/>
    <col min="112" max="112" width="5.77734375" customWidth="1"/>
    <col min="113" max="113" width="11.44140625" bestFit="1" customWidth="1"/>
    <col min="114" max="114" width="11.77734375" bestFit="1" customWidth="1"/>
    <col min="115" max="116" width="7.77734375" customWidth="1"/>
    <col min="117" max="118" width="7.88671875" customWidth="1"/>
    <col min="119" max="120" width="7.77734375" customWidth="1"/>
    <col min="121" max="121" width="14.44140625" bestFit="1" customWidth="1"/>
    <col min="122" max="122" width="14.88671875" bestFit="1" customWidth="1"/>
    <col min="123" max="123" width="17.44140625" bestFit="1" customWidth="1"/>
    <col min="124" max="124" width="7.77734375" customWidth="1"/>
    <col min="125" max="125" width="8.44140625" customWidth="1"/>
    <col min="126" max="126" width="5.44140625" customWidth="1"/>
    <col min="127" max="131" width="7.77734375" customWidth="1"/>
    <col min="132" max="133" width="7.88671875" customWidth="1"/>
    <col min="134" max="134" width="7.21875" customWidth="1"/>
    <col min="135" max="135" width="11.88671875" bestFit="1" customWidth="1"/>
    <col min="136" max="139" width="7.77734375" customWidth="1"/>
    <col min="140" max="141" width="7.88671875" customWidth="1"/>
    <col min="142" max="142" width="7.77734375" customWidth="1"/>
    <col min="143" max="143" width="14.5546875" bestFit="1" customWidth="1"/>
    <col min="144" max="144" width="9.44140625" bestFit="1" customWidth="1"/>
    <col min="145" max="145" width="12" bestFit="1" customWidth="1"/>
    <col min="146" max="146" width="12.109375" bestFit="1" customWidth="1"/>
    <col min="147" max="150" width="7.77734375" customWidth="1"/>
    <col min="151" max="152" width="7.88671875" customWidth="1"/>
    <col min="153" max="153" width="14.77734375" bestFit="1" customWidth="1"/>
    <col min="154" max="154" width="12.33203125" bestFit="1" customWidth="1"/>
    <col min="155" max="155" width="14.88671875" bestFit="1" customWidth="1"/>
    <col min="156" max="156" width="10.21875" bestFit="1" customWidth="1"/>
    <col min="157" max="157" width="12.6640625" bestFit="1" customWidth="1"/>
    <col min="158" max="158" width="9.77734375" bestFit="1" customWidth="1"/>
    <col min="159" max="159" width="7.77734375" customWidth="1"/>
    <col min="160" max="160" width="12.33203125" bestFit="1" customWidth="1"/>
    <col min="161" max="161" width="11.6640625" bestFit="1" customWidth="1"/>
    <col min="162" max="166" width="7.77734375" customWidth="1"/>
    <col min="167" max="167" width="7.88671875" customWidth="1"/>
    <col min="168" max="168" width="7.77734375" customWidth="1"/>
    <col min="169" max="169" width="5.77734375" customWidth="1"/>
    <col min="170" max="170" width="14.44140625" bestFit="1" customWidth="1"/>
    <col min="171" max="171" width="12.5546875" bestFit="1" customWidth="1"/>
    <col min="172" max="172" width="7.77734375" customWidth="1"/>
    <col min="173" max="173" width="15.21875" bestFit="1" customWidth="1"/>
    <col min="174" max="174" width="16.33203125" bestFit="1" customWidth="1"/>
    <col min="175" max="175" width="18.88671875" bestFit="1" customWidth="1"/>
    <col min="176" max="176" width="13.33203125" bestFit="1" customWidth="1"/>
    <col min="177" max="178" width="7.77734375" customWidth="1"/>
    <col min="179" max="179" width="7.88671875" customWidth="1"/>
    <col min="180" max="180" width="7.77734375" customWidth="1"/>
    <col min="181" max="181" width="16" bestFit="1" customWidth="1"/>
    <col min="182" max="182" width="9.77734375" bestFit="1" customWidth="1"/>
    <col min="183" max="183" width="7.77734375" customWidth="1"/>
    <col min="184" max="184" width="12.33203125" bestFit="1" customWidth="1"/>
    <col min="185" max="185" width="13.33203125" bestFit="1" customWidth="1"/>
    <col min="186" max="187" width="7.77734375" customWidth="1"/>
    <col min="188" max="188" width="16" bestFit="1" customWidth="1"/>
    <col min="189" max="189" width="20.6640625" bestFit="1" customWidth="1"/>
    <col min="190" max="190" width="7.77734375" customWidth="1"/>
    <col min="191" max="192" width="7.88671875" customWidth="1"/>
    <col min="193" max="193" width="23.44140625" bestFit="1" customWidth="1"/>
    <col min="194" max="194" width="17" bestFit="1" customWidth="1"/>
    <col min="195" max="195" width="19.6640625" bestFit="1" customWidth="1"/>
    <col min="196" max="196" width="13.33203125" bestFit="1" customWidth="1"/>
    <col min="197" max="197" width="16" bestFit="1" customWidth="1"/>
    <col min="198" max="198" width="9.21875" bestFit="1" customWidth="1"/>
    <col min="199" max="203" width="7.77734375" customWidth="1"/>
    <col min="204" max="204" width="11.5546875" bestFit="1" customWidth="1"/>
    <col min="205" max="205" width="9.21875" bestFit="1" customWidth="1"/>
    <col min="206" max="209" width="7.77734375" customWidth="1"/>
    <col min="210" max="211" width="7.88671875" customWidth="1"/>
    <col min="212" max="213" width="7.77734375" customWidth="1"/>
    <col min="214" max="214" width="11.5546875" bestFit="1" customWidth="1"/>
    <col min="215" max="215" width="9.21875" bestFit="1" customWidth="1"/>
    <col min="216" max="217" width="7.88671875" customWidth="1"/>
    <col min="218" max="221" width="7.77734375" customWidth="1"/>
    <col min="222" max="222" width="11.5546875" bestFit="1" customWidth="1"/>
    <col min="223" max="223" width="9.77734375" bestFit="1" customWidth="1"/>
    <col min="224" max="224" width="7.77734375" customWidth="1"/>
    <col min="225" max="225" width="12.33203125" bestFit="1" customWidth="1"/>
    <col min="226" max="226" width="13.33203125" bestFit="1" customWidth="1"/>
    <col min="227" max="227" width="7.77734375" customWidth="1"/>
    <col min="228" max="228" width="16" bestFit="1" customWidth="1"/>
    <col min="229" max="229" width="11.6640625" bestFit="1" customWidth="1"/>
    <col min="230" max="230" width="14.44140625" bestFit="1" customWidth="1"/>
    <col min="231" max="231" width="15.5546875" bestFit="1" customWidth="1"/>
    <col min="232" max="232" width="18.33203125" bestFit="1" customWidth="1"/>
    <col min="233" max="233" width="11.44140625" bestFit="1" customWidth="1"/>
    <col min="234" max="235" width="7.88671875" customWidth="1"/>
    <col min="236" max="236" width="7.77734375" customWidth="1"/>
    <col min="237" max="237" width="14.109375" bestFit="1" customWidth="1"/>
    <col min="238" max="238" width="17.44140625" bestFit="1" customWidth="1"/>
    <col min="239" max="239" width="20.109375" bestFit="1" customWidth="1"/>
    <col min="240" max="240" width="20.21875" bestFit="1" customWidth="1"/>
    <col min="241" max="241" width="22.77734375" bestFit="1" customWidth="1"/>
    <col min="242" max="242" width="14.21875" bestFit="1" customWidth="1"/>
    <col min="243" max="247" width="7.77734375" customWidth="1"/>
    <col min="248" max="248" width="7.88671875" customWidth="1"/>
    <col min="249" max="249" width="16.88671875" bestFit="1" customWidth="1"/>
    <col min="250" max="250" width="10" bestFit="1" customWidth="1"/>
    <col min="251" max="254" width="7.77734375" customWidth="1"/>
    <col min="255" max="255" width="12.44140625" bestFit="1" customWidth="1"/>
    <col min="256" max="256" width="14.109375" bestFit="1" customWidth="1"/>
    <col min="257" max="257" width="16.6640625" bestFit="1" customWidth="1"/>
    <col min="258" max="258" width="9.77734375" bestFit="1" customWidth="1"/>
    <col min="259" max="259" width="12.33203125" bestFit="1" customWidth="1"/>
    <col min="260" max="260" width="17" bestFit="1" customWidth="1"/>
    <col min="261" max="265" width="7.77734375" customWidth="1"/>
    <col min="266" max="266" width="7.88671875" customWidth="1"/>
    <col min="267" max="267" width="7.77734375" customWidth="1"/>
    <col min="268" max="268" width="5.77734375" customWidth="1"/>
    <col min="269" max="269" width="19.6640625" bestFit="1" customWidth="1"/>
    <col min="270" max="270" width="13.33203125" bestFit="1" customWidth="1"/>
    <col min="271" max="271" width="7.88671875" customWidth="1"/>
    <col min="272" max="272" width="16" bestFit="1" customWidth="1"/>
    <col min="273" max="273" width="9.77734375" bestFit="1" customWidth="1"/>
    <col min="274" max="274" width="7.77734375" customWidth="1"/>
    <col min="275" max="275" width="12.33203125" bestFit="1" customWidth="1"/>
    <col min="276" max="276" width="10.44140625" bestFit="1" customWidth="1"/>
    <col min="277" max="279" width="7.77734375" customWidth="1"/>
    <col min="280" max="280" width="13" bestFit="1" customWidth="1"/>
    <col min="281" max="281" width="11.44140625" bestFit="1" customWidth="1"/>
    <col min="282" max="283" width="7.77734375" customWidth="1"/>
    <col min="284" max="284" width="7.88671875" customWidth="1"/>
    <col min="285" max="285" width="14" bestFit="1" customWidth="1"/>
    <col min="286" max="286" width="9.77734375" bestFit="1" customWidth="1"/>
    <col min="287" max="291" width="7.77734375" customWidth="1"/>
    <col min="292" max="292" width="12.33203125" bestFit="1" customWidth="1"/>
    <col min="293" max="293" width="12.77734375" bestFit="1" customWidth="1"/>
    <col min="294" max="295" width="7.77734375" customWidth="1"/>
    <col min="296" max="296" width="7.88671875" customWidth="1"/>
    <col min="297" max="297" width="15.44140625" bestFit="1" customWidth="1"/>
    <col min="298" max="298" width="11.21875" bestFit="1" customWidth="1"/>
    <col min="299" max="302" width="7.77734375" customWidth="1"/>
    <col min="303" max="303" width="13.77734375" bestFit="1" customWidth="1"/>
    <col min="304" max="304" width="13.33203125" bestFit="1" customWidth="1"/>
    <col min="305" max="305" width="7.88671875" customWidth="1"/>
    <col min="306" max="306" width="16" bestFit="1" customWidth="1"/>
    <col min="307" max="307" width="9.77734375" bestFit="1" customWidth="1"/>
    <col min="308" max="308" width="7.88671875" customWidth="1"/>
    <col min="309" max="309" width="12.33203125" bestFit="1" customWidth="1"/>
    <col min="310" max="310" width="13.33203125" bestFit="1" customWidth="1"/>
    <col min="311" max="311" width="16" bestFit="1" customWidth="1"/>
    <col min="312" max="312" width="13.77734375" bestFit="1" customWidth="1"/>
    <col min="313" max="313" width="16.44140625" bestFit="1" customWidth="1"/>
    <col min="314" max="314" width="15.21875" bestFit="1" customWidth="1"/>
    <col min="315" max="318" width="7.77734375" customWidth="1"/>
    <col min="319" max="319" width="17.77734375" bestFit="1" customWidth="1"/>
    <col min="320" max="320" width="17" bestFit="1" customWidth="1"/>
    <col min="321" max="324" width="7.77734375" customWidth="1"/>
    <col min="325" max="325" width="7.88671875" customWidth="1"/>
    <col min="326" max="326" width="19.6640625" bestFit="1" customWidth="1"/>
    <col min="327" max="327" width="9.77734375" bestFit="1" customWidth="1"/>
    <col min="328" max="328" width="12.33203125" bestFit="1" customWidth="1"/>
    <col min="329" max="329" width="7.44140625" customWidth="1"/>
  </cols>
  <sheetData>
    <row r="1" spans="1:3">
      <c r="A1" s="51"/>
      <c r="B1" s="52"/>
      <c r="C1" s="53"/>
    </row>
    <row r="2" spans="1:3">
      <c r="A2" s="54"/>
      <c r="B2" s="55"/>
      <c r="C2" s="56"/>
    </row>
    <row r="3" spans="1:3">
      <c r="A3" s="54"/>
      <c r="B3" s="55"/>
      <c r="C3" s="56"/>
    </row>
    <row r="4" spans="1:3">
      <c r="A4" s="54"/>
      <c r="B4" s="55"/>
      <c r="C4" s="56"/>
    </row>
    <row r="5" spans="1:3">
      <c r="A5" s="54"/>
      <c r="B5" s="55"/>
      <c r="C5" s="56"/>
    </row>
    <row r="6" spans="1:3">
      <c r="A6" s="54"/>
      <c r="B6" s="55"/>
      <c r="C6" s="56"/>
    </row>
    <row r="7" spans="1:3">
      <c r="A7" s="54"/>
      <c r="B7" s="55"/>
      <c r="C7" s="56"/>
    </row>
    <row r="8" spans="1:3">
      <c r="A8" s="54"/>
      <c r="B8" s="55"/>
      <c r="C8" s="56"/>
    </row>
    <row r="9" spans="1:3">
      <c r="A9" s="54"/>
      <c r="B9" s="55"/>
      <c r="C9" s="56"/>
    </row>
    <row r="10" spans="1:3">
      <c r="A10" s="54"/>
      <c r="B10" s="55"/>
      <c r="C10" s="56"/>
    </row>
    <row r="11" spans="1:3">
      <c r="A11" s="54"/>
      <c r="B11" s="55"/>
      <c r="C11" s="56"/>
    </row>
    <row r="12" spans="1:3">
      <c r="A12" s="54"/>
      <c r="B12" s="55"/>
      <c r="C12" s="56"/>
    </row>
    <row r="13" spans="1:3">
      <c r="A13" s="54"/>
      <c r="B13" s="55"/>
      <c r="C13" s="56"/>
    </row>
    <row r="14" spans="1:3">
      <c r="A14" s="54"/>
      <c r="B14" s="55"/>
      <c r="C14" s="56"/>
    </row>
    <row r="15" spans="1:3">
      <c r="A15" s="54"/>
      <c r="B15" s="55"/>
      <c r="C15" s="56"/>
    </row>
    <row r="16" spans="1:3">
      <c r="A16" s="54"/>
      <c r="B16" s="55"/>
      <c r="C16" s="56"/>
    </row>
    <row r="17" spans="1:3">
      <c r="A17" s="54"/>
      <c r="B17" s="55"/>
      <c r="C17" s="56"/>
    </row>
    <row r="18" spans="1:3">
      <c r="A18" s="57"/>
      <c r="B18" s="58"/>
      <c r="C18" s="59"/>
    </row>
  </sheetData>
  <phoneticPr fontId="2" type="noConversion"/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workbookViewId="0">
      <selection activeCell="C13" sqref="C13"/>
    </sheetView>
  </sheetViews>
  <sheetFormatPr defaultColWidth="8.88671875" defaultRowHeight="14.25"/>
  <cols>
    <col min="1" max="1" width="16.109375" style="5" customWidth="1"/>
    <col min="2" max="2" width="21.77734375" style="2" customWidth="1"/>
    <col min="3" max="3" width="11.33203125" style="8" customWidth="1"/>
    <col min="4" max="16384" width="8.88671875" style="2"/>
  </cols>
  <sheetData>
    <row r="1" spans="1:8" s="6" customFormat="1" ht="16.5" customHeight="1">
      <c r="A1" s="73" t="s">
        <v>72</v>
      </c>
      <c r="B1" s="74" t="s">
        <v>65</v>
      </c>
      <c r="C1" s="75" t="s">
        <v>73</v>
      </c>
      <c r="D1" s="75"/>
      <c r="E1" s="75"/>
      <c r="F1" s="75"/>
    </row>
    <row r="2" spans="1:8" s="6" customFormat="1" ht="19.5">
      <c r="A2" s="73"/>
      <c r="B2" s="74"/>
      <c r="C2" s="26" t="s">
        <v>66</v>
      </c>
      <c r="D2" s="26" t="s">
        <v>67</v>
      </c>
      <c r="E2" s="26" t="s">
        <v>68</v>
      </c>
      <c r="F2" s="26" t="s">
        <v>69</v>
      </c>
      <c r="H2" s="9"/>
    </row>
    <row r="3" spans="1:8" s="6" customFormat="1" ht="18.75" customHeight="1">
      <c r="A3" s="27" t="s">
        <v>74</v>
      </c>
      <c r="B3" s="10">
        <v>45</v>
      </c>
      <c r="C3" s="11">
        <v>2</v>
      </c>
      <c r="D3" s="11">
        <v>10</v>
      </c>
      <c r="E3" s="11">
        <f>(C3+D3)</f>
        <v>12</v>
      </c>
      <c r="F3" s="12">
        <f>PRODUCT(B3,E3,22)/1000</f>
        <v>11.88</v>
      </c>
    </row>
    <row r="4" spans="1:8" s="6" customFormat="1" ht="18.75" customHeight="1">
      <c r="A4" s="27" t="s">
        <v>75</v>
      </c>
      <c r="B4" s="10">
        <v>45</v>
      </c>
      <c r="C4" s="11">
        <v>2</v>
      </c>
      <c r="D4" s="11">
        <v>3</v>
      </c>
      <c r="E4" s="11">
        <f>(C4+D4)</f>
        <v>5</v>
      </c>
      <c r="F4" s="12">
        <f>PRODUCT(B4,E4,22)/1000</f>
        <v>4.95</v>
      </c>
    </row>
    <row r="5" spans="1:8" s="6" customFormat="1" ht="15">
      <c r="A5" s="13" t="s">
        <v>70</v>
      </c>
      <c r="B5" s="13"/>
      <c r="C5" s="14">
        <f>SUM(C3:C4)</f>
        <v>4</v>
      </c>
      <c r="D5" s="14">
        <f>SUM(D3:D4)</f>
        <v>13</v>
      </c>
      <c r="E5" s="14">
        <f>SUM(E3:E4)</f>
        <v>17</v>
      </c>
      <c r="F5" s="14">
        <f>SUM(F3:F4)</f>
        <v>16.830000000000002</v>
      </c>
    </row>
    <row r="6" spans="1:8" s="15" customFormat="1" ht="15"/>
    <row r="7" spans="1:8" s="15" customFormat="1" ht="15"/>
  </sheetData>
  <mergeCells count="3">
    <mergeCell ref="A1:A2"/>
    <mergeCell ref="B1:B2"/>
    <mergeCell ref="C1:F1"/>
  </mergeCells>
  <phoneticPr fontId="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5"/>
  <sheetViews>
    <sheetView workbookViewId="0">
      <selection sqref="A1:C3"/>
    </sheetView>
  </sheetViews>
  <sheetFormatPr defaultColWidth="8.77734375" defaultRowHeight="14.25"/>
  <cols>
    <col min="1" max="1" width="12.88671875" style="16" customWidth="1"/>
    <col min="2" max="2" width="13.88671875" style="16" customWidth="1"/>
    <col min="3" max="3" width="22.5546875" style="16" customWidth="1"/>
    <col min="4" max="16384" width="8.77734375" style="16"/>
  </cols>
  <sheetData>
    <row r="1" spans="1:3">
      <c r="A1" s="24" t="s">
        <v>57</v>
      </c>
      <c r="B1" s="24" t="s">
        <v>58</v>
      </c>
      <c r="C1" s="25" t="s">
        <v>59</v>
      </c>
    </row>
    <row r="2" spans="1:3">
      <c r="A2" s="19" t="s">
        <v>78</v>
      </c>
      <c r="B2" s="19" t="s">
        <v>74</v>
      </c>
      <c r="C2" s="21" t="s">
        <v>76</v>
      </c>
    </row>
    <row r="3" spans="1:3">
      <c r="A3" s="19"/>
      <c r="B3" s="19" t="s">
        <v>75</v>
      </c>
      <c r="C3" s="21" t="s">
        <v>77</v>
      </c>
    </row>
    <row r="4" spans="1:3">
      <c r="A4" s="19"/>
      <c r="B4" s="19"/>
      <c r="C4" s="21"/>
    </row>
    <row r="5" spans="1:3">
      <c r="A5" s="19"/>
      <c r="B5" s="19"/>
      <c r="C5" s="21"/>
    </row>
    <row r="6" spans="1:3">
      <c r="A6" s="19"/>
      <c r="B6" s="19"/>
      <c r="C6" s="21"/>
    </row>
    <row r="7" spans="1:3">
      <c r="A7" s="19"/>
      <c r="B7" s="19"/>
      <c r="C7" s="21"/>
    </row>
    <row r="8" spans="1:3">
      <c r="A8" s="19"/>
      <c r="B8" s="19"/>
      <c r="C8" s="21"/>
    </row>
    <row r="9" spans="1:3">
      <c r="A9" s="19"/>
      <c r="B9" s="19"/>
      <c r="C9" s="21"/>
    </row>
    <row r="10" spans="1:3">
      <c r="A10" s="19"/>
      <c r="B10" s="19"/>
      <c r="C10" s="21"/>
    </row>
    <row r="11" spans="1:3">
      <c r="A11" s="19"/>
      <c r="B11" s="19"/>
      <c r="C11" s="21"/>
    </row>
    <row r="12" spans="1:3">
      <c r="A12" s="19"/>
      <c r="B12" s="19"/>
      <c r="C12" s="21"/>
    </row>
    <row r="13" spans="1:3">
      <c r="A13" s="19"/>
      <c r="B13" s="19"/>
      <c r="C13" s="21"/>
    </row>
    <row r="14" spans="1:3">
      <c r="A14" s="19"/>
      <c r="B14" s="19"/>
      <c r="C14" s="21"/>
    </row>
    <row r="15" spans="1:3">
      <c r="A15" s="19"/>
      <c r="B15" s="19"/>
      <c r="C15" s="21"/>
    </row>
    <row r="16" spans="1:3">
      <c r="A16" s="19"/>
      <c r="B16" s="19"/>
      <c r="C16" s="21"/>
    </row>
    <row r="17" spans="1:3">
      <c r="A17" s="19"/>
      <c r="B17" s="19"/>
      <c r="C17" s="21"/>
    </row>
    <row r="18" spans="1:3">
      <c r="A18" s="19"/>
      <c r="B18" s="19"/>
      <c r="C18" s="21"/>
    </row>
    <row r="19" spans="1:3">
      <c r="A19" s="19"/>
      <c r="B19" s="19"/>
      <c r="C19" s="21"/>
    </row>
    <row r="20" spans="1:3">
      <c r="A20" s="19"/>
      <c r="B20" s="20"/>
      <c r="C20" s="21"/>
    </row>
    <row r="21" spans="1:3">
      <c r="A21" s="19"/>
      <c r="B21" s="19"/>
      <c r="C21" s="21"/>
    </row>
    <row r="22" spans="1:3" ht="16.5" customHeight="1">
      <c r="A22" s="19"/>
      <c r="B22" s="19"/>
      <c r="C22" s="21"/>
    </row>
    <row r="23" spans="1:3">
      <c r="A23" s="19"/>
      <c r="B23" s="19"/>
      <c r="C23" s="21"/>
    </row>
    <row r="24" spans="1:3">
      <c r="A24" s="19"/>
      <c r="B24" s="19"/>
      <c r="C24" s="21"/>
    </row>
    <row r="25" spans="1:3">
      <c r="A25" s="19"/>
      <c r="B25" s="19"/>
      <c r="C25" s="21"/>
    </row>
    <row r="26" spans="1:3">
      <c r="A26" s="19"/>
      <c r="B26" s="19"/>
      <c r="C26" s="21"/>
    </row>
    <row r="27" spans="1:3">
      <c r="A27" s="19"/>
      <c r="B27" s="17"/>
      <c r="C27" s="21"/>
    </row>
    <row r="28" spans="1:3">
      <c r="A28" s="19"/>
      <c r="B28" s="17"/>
      <c r="C28" s="21"/>
    </row>
    <row r="29" spans="1:3">
      <c r="A29" s="19"/>
      <c r="B29" s="17"/>
      <c r="C29" s="21"/>
    </row>
    <row r="30" spans="1:3">
      <c r="A30" s="19"/>
      <c r="B30" s="17"/>
      <c r="C30" s="21"/>
    </row>
    <row r="31" spans="1:3">
      <c r="A31" s="19"/>
      <c r="B31" s="17"/>
      <c r="C31" s="21"/>
    </row>
    <row r="32" spans="1:3">
      <c r="A32" s="19"/>
      <c r="B32" s="17"/>
      <c r="C32" s="21"/>
    </row>
    <row r="33" spans="1:3">
      <c r="A33" s="19"/>
      <c r="B33" s="17"/>
      <c r="C33" s="21"/>
    </row>
    <row r="34" spans="1:3">
      <c r="A34" s="23"/>
      <c r="B34" s="17"/>
      <c r="C34" s="21"/>
    </row>
    <row r="35" spans="1:3">
      <c r="A35" s="7"/>
      <c r="B35" s="17"/>
      <c r="C35" s="21"/>
    </row>
    <row r="36" spans="1:3">
      <c r="A36" s="7"/>
      <c r="B36" s="17"/>
      <c r="C36" s="21"/>
    </row>
    <row r="37" spans="1:3">
      <c r="B37" s="17"/>
      <c r="C37" s="21"/>
    </row>
    <row r="38" spans="1:3">
      <c r="B38" s="17"/>
      <c r="C38" s="21"/>
    </row>
    <row r="39" spans="1:3">
      <c r="B39" s="17"/>
      <c r="C39" s="21"/>
    </row>
    <row r="40" spans="1:3">
      <c r="B40" s="17"/>
      <c r="C40" s="21"/>
    </row>
    <row r="41" spans="1:3">
      <c r="C41" s="21"/>
    </row>
    <row r="42" spans="1:3">
      <c r="C42" s="21"/>
    </row>
    <row r="43" spans="1:3">
      <c r="C43" s="21"/>
    </row>
    <row r="44" spans="1:3">
      <c r="C44" s="21"/>
    </row>
    <row r="45" spans="1:3">
      <c r="C45" s="22"/>
    </row>
  </sheetData>
  <phoneticPr fontId="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4</vt:i4>
      </vt:variant>
    </vt:vector>
  </HeadingPairs>
  <TitlesOfParts>
    <vt:vector size="12" baseType="lpstr">
      <vt:lpstr>Sheet2</vt:lpstr>
      <vt:lpstr>全部RM</vt:lpstr>
      <vt:lpstr>Sheet1</vt:lpstr>
      <vt:lpstr>Sheet3</vt:lpstr>
      <vt:lpstr>RM统计</vt:lpstr>
      <vt:lpstr>产业月度趋势图</vt:lpstr>
      <vt:lpstr>吞吐量</vt:lpstr>
      <vt:lpstr>常量值</vt:lpstr>
      <vt:lpstr>全部RM!Print_Area</vt:lpstr>
      <vt:lpstr>部件</vt:lpstr>
      <vt:lpstr>项目</vt:lpstr>
      <vt:lpstr>需求处理人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Jianghaijun</dc:creator>
  <cp:lastModifiedBy>Caojiesheng (Jason)</cp:lastModifiedBy>
  <cp:lastPrinted>2007-03-23T05:43:02Z</cp:lastPrinted>
  <dcterms:created xsi:type="dcterms:W3CDTF">2003-11-11T03:59:45Z</dcterms:created>
  <dcterms:modified xsi:type="dcterms:W3CDTF">2017-09-05T09:00:41Z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(3)nbyDGkkOBuXADNEi88hgAkwOuPPir8k5UA3edjswtaFe++q27eCXwk/wOlMwINAWoGczidLH
H/M+86bFJomxrRm2kcqRulRJ5SykaifuUoprXPSJP+B7LrPDayHhT/Cwnli54ZnSdul+HYxy
LzOG8Q04qcOvOCfdDN8TUSBYOtrD/d9Z5C+l3uE0Aiuece076xP26/3fdPtoNctBpX9IzOvm
JPqWVb971yrBNRSNtaFTT</vt:lpwstr>
  </property>
  <property fmtid="{D5CDD505-2E9C-101B-9397-08002B2CF9AE}" pid="3" name="_ms_pID_7253431">
    <vt:lpwstr>kbwcu+Z3ivC6kMZ2cjftrKD9yhOqXhu91hOxHU+BrGs7KAfZ5Eb
9aKXF6lHKiZ4gy8jkQBlMFh8pUEKtiT+074x3jcVj+Vyt057VDgFnft9tkgTEfQBQ2vksXw+
XWshJtqqxbfMBvAF6s6HxDePegMz3qCUlArpnb7I7CpoZl3RF8AePmGvXIA5LXne7SM8UsYy
r4eOg4bDV504s+JwVzto842MRfIdIg8R2OPHRwX8Xi</vt:lpwstr>
  </property>
  <property fmtid="{D5CDD505-2E9C-101B-9397-08002B2CF9AE}" pid="4" name="_ms_pID_7253432">
    <vt:lpwstr>9dMBUpQJE62DaUs+o=</vt:lpwstr>
  </property>
  <property fmtid="{D5CDD505-2E9C-101B-9397-08002B2CF9AE}" pid="5" name="_new_ms_pID_72543">
    <vt:lpwstr>(3)LWiKAJKArEEC64BL5zOzgo+6z9cr2EPpcXAyo6fcQXr1dUg6u9vXSy0WT/FMik7F/9QT42HZ
QNgYrvv7pMX3Kicke0rSsVwzACR3VNF1G607eUmL9LPVhMvuXjgY99/4cF6lijN2+/9kagF1
elHkBwHL+p2yPqex0+RPpUFeyiYnRJ9TFJobQ5XJcC/K46TBAqdm3e8bOUDAo5WVQ/ItnUTp
bxWmXhDiX1hWqUmjAJ</vt:lpwstr>
  </property>
  <property fmtid="{D5CDD505-2E9C-101B-9397-08002B2CF9AE}" pid="6" name="_new_ms_pID_725431">
    <vt:lpwstr>CWM8DIp+HEC8OSpLnWBbesG3uDzrEsz3OkXCscL07glWlOuUg88ck7
4NfdScA3FQg78ExrUAMU3XY8NG/PnMG6POyqQViBDOAooEyctip+kOxXS3MeZmPmN1nhThxt
9N4mDBBcrfMsXdfmWT0QSmGuC4z1YssoJwHhPbNYSVfSFAksZgao35JGvJeSaaEfHYlS0fYi
/I0NdSLWX6fOJAnmJ/Y/Or4Lsds3Gdx2a2NO</vt:lpwstr>
  </property>
  <property fmtid="{D5CDD505-2E9C-101B-9397-08002B2CF9AE}" pid="7" name="_new_ms_pID_725432">
    <vt:lpwstr>hI5gj7yp85Pzd8mdtZ6vaOR0nUPu1ih1e+tL
go0N7SAZ33pDAXSRdIjKfk7P9nIkD6d3R52CceCU5CVUlBXNyq0=</vt:lpwstr>
  </property>
  <property fmtid="{D5CDD505-2E9C-101B-9397-08002B2CF9AE}" pid="8" name="_2015_ms_pID_725343">
    <vt:lpwstr>(3)jb2BHxncXxouhyLn9gNtrbfXHbV+XYlPo/E/ZsfG6rLkWDQaD18kIMr66bLh/4zzkoZDs+zD
xcv9gsyAWGjjkNy5i44QHUdRCN/qT+kbJ4FUGoW837u+wF66VtEcJXlN7OnLklBzhQ3Ely9f
4dcRPpvrt7DTY8H9XMBbVuDarKT5rCtVYOQzNHC1I8G9412PSoDbnecOchRzBolhPT1m601U
GJMwgoFzmDRZnPvO4D</vt:lpwstr>
  </property>
  <property fmtid="{D5CDD505-2E9C-101B-9397-08002B2CF9AE}" pid="9" name="_2015_ms_pID_7253431">
    <vt:lpwstr>VkJFoeHLdpILwlb1IB+DhcKJHS3S2qNeq6GSXDKQUNg7FPu+KQZF7b
GZmQvpuxUi6ddLOZbxlZ28eSmLL2VvZQI6ADsDorDCltTv3qqQkz5amHwNxY4WgV9VS+J5zJ
Vw8HxEH6yIowKJ3u0vnDh1kNVa6AxTrNa/KFaCJUnp2g7uAj2QI5uAVg3y3LRJh84UzSpL0N
/4pr35n60bZxoT78IeRqp/591xjgh+QiwyXO</vt:lpwstr>
  </property>
  <property fmtid="{D5CDD505-2E9C-101B-9397-08002B2CF9AE}" pid="10" name="_2015_ms_pID_7253432">
    <vt:lpwstr>8XxgS5KynMoI06fFP61/1h3i8bn8oGglS++1
p1GqLJZv/zGebbf9ft5k4NS+1QIz8U1cLTKtvcCr6X5ePrPIerI=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1504595533</vt:lpwstr>
  </property>
</Properties>
</file>