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E:\配置库\eData-CBG\Team\06. 项目管理\01. 需求管理\"/>
    </mc:Choice>
  </mc:AlternateContent>
  <bookViews>
    <workbookView xWindow="0" yWindow="-210" windowWidth="11505" windowHeight="4665" tabRatio="925" firstSheet="1" activeTab="1"/>
  </bookViews>
  <sheets>
    <sheet name="Sheet2" sheetId="160" state="hidden" r:id="rId1"/>
    <sheet name="全部RM" sheetId="165" r:id="rId2"/>
    <sheet name="RM统计" sheetId="170" r:id="rId3"/>
    <sheet name="产业月度趋势图" sheetId="174" r:id="rId4"/>
    <sheet name="吞吐量" sheetId="156" r:id="rId5"/>
    <sheet name="常量值" sheetId="190"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1" hidden="1">全部RM!$A$1:$AB$14</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全部RM!$A$1:$W$1</definedName>
    <definedName name="s">[9]常量值!$A$2:$A$30</definedName>
    <definedName name="sss">[9]常量值!$C$2:$C$35</definedName>
    <definedName name="W1048377U4890">全部RM!$U$1041820</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需求处理人">常量值!$C$2:$C$24</definedName>
  </definedNames>
  <calcPr calcId="152511"/>
  <pivotCaches>
    <pivotCache cacheId="219" r:id="rId18"/>
    <pivotCache cacheId="220" r:id="rId19"/>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<sst xmlns="http://schemas.openxmlformats.org/spreadsheetml/2006/main" count="208" uniqueCount="143">
  <si>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</si>
  <si>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</si>
  <si>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</si>
  <si>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</si>
  <si>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</si>
  <si>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</si>
  <si>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</si>
  <si>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</si>
  <si>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</si>
  <si>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</si>
  <si>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</si>
  <si>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</si>
  <si>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</si>
  <si>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</si>
  <si>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</si>
  <si>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</si>
  <si>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</si>
  <si>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</si>
  <si>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</si>
  <si>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</si>
  <si>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</si>
  <si>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</si>
  <si>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</si>
  <si>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</si>
  <si>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</si>
  <si>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</si>
  <si>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</si>
  <si>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</si>
  <si>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</si>
  <si>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</si>
  <si>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</si>
  <si>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</si>
  <si>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</si>
  <si>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</si>
  <si>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</si>
  <si>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</si>
  <si>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</si>
  <si>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</si>
  <si>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</si>
  <si>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</si>
  <si>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</si>
  <si>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</si>
  <si>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</si>
  <si>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</si>
  <si>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</si>
  <si>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</si>
  <si>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</si>
  <si>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</si>
  <si>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</si>
  <si>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</si>
  <si>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</si>
  <si>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</si>
  <si>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</si>
  <si>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</si>
  <si>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</si>
  <si>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</si>
  <si>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综合结论</t>
  </si>
  <si>
    <t>正常需求</t>
  </si>
  <si>
    <t>项目名称</t>
    <phoneticPr fontId="2" type="noConversion"/>
  </si>
  <si>
    <t>部件</t>
    <phoneticPr fontId="2" type="noConversion"/>
  </si>
  <si>
    <t>需求处理人</t>
    <phoneticPr fontId="2" type="noConversion"/>
  </si>
  <si>
    <t>月度版本N（交付时间为 N+1月底 ）</t>
    <phoneticPr fontId="2" type="noConversion"/>
  </si>
  <si>
    <t xml:space="preserve">交付版本号 </t>
    <phoneticPr fontId="2" type="noConversion"/>
  </si>
  <si>
    <t>综合结论</t>
    <phoneticPr fontId="2" type="noConversion"/>
  </si>
  <si>
    <t>RAT开会时间</t>
    <phoneticPr fontId="2" type="noConversion"/>
  </si>
  <si>
    <t>决策点</t>
    <phoneticPr fontId="2" type="noConversion"/>
  </si>
  <si>
    <t>月度版本N（交付时间为 N+1月底 ）</t>
  </si>
  <si>
    <t>(空白)</t>
  </si>
  <si>
    <t>(全部)</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</si>
  <si>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</si>
  <si>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</si>
  <si>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</si>
  <si>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</si>
  <si>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</si>
  <si>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</si>
  <si>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</si>
  <si>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</si>
  <si>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</si>
  <si>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项目名称</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</si>
  <si>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</si>
  <si>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</si>
  <si>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</si>
  <si>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</si>
  <si>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</si>
  <si>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</si>
  <si>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</si>
  <si>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</si>
  <si>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</si>
  <si>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</si>
  <si>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</si>
  <si>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</si>
  <si>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</si>
  <si>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</si>
  <si>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涉及页面：EDC-&gt;运营趋势
4月底完成添加：从当前时间起48小时内数据为过程数据，会涉及变化，仅供参考(The data during last 48 hours is still in process, it is just for reference only, please notice.)
inTouch完成汇率查询后添加：中文：流水数据以本币为准，人民币与美元数据仅作为参考，汇率采用Bloomberg终端市场汇率，具体汇率可参考链接 https://admin-intouch.huawei.com/exchangeRate?lang=zh
英文：Please use the local currency amount as the gross revene, CNY and USD revenue as references. The exchange rate used in system is Bloomberg Market exchange rate. https://admin-intouch.huawei.com/exchangeRate?lang=en</t>
  </si>
  <si>
    <t>杨涛 00210370</t>
  </si>
  <si>
    <t>需求提交时间</t>
  </si>
  <si>
    <t>渠道子渠道活动分析-阶段2</t>
    <phoneticPr fontId="0" type="noConversion"/>
  </si>
  <si>
    <t>收入分析增加"合作渠道流水"、订阅存量流水统计项</t>
    <phoneticPr fontId="0" type="noConversion"/>
  </si>
  <si>
    <t>后台--&gt;3月份与游戏关联需求-Charging话单格式变更</t>
    <phoneticPr fontId="0" type="noConversion"/>
  </si>
  <si>
    <t>EDC-&gt;运营趋势改版&amp;交互优化</t>
    <phoneticPr fontId="0" type="noConversion"/>
  </si>
  <si>
    <t>EDC-&gt;联合营销改版与新增统计项</t>
    <phoneticPr fontId="0" type="noConversion"/>
  </si>
  <si>
    <t>EDC-&gt;精品包改版</t>
    <phoneticPr fontId="0" type="noConversion"/>
  </si>
  <si>
    <t>后台-&gt;刷量行为识别报表需求</t>
    <phoneticPr fontId="0" type="noConversion"/>
  </si>
  <si>
    <t>收租机制优化需求涉及易数对支付话单新增rentTime字段与使用</t>
    <phoneticPr fontId="0" type="noConversion"/>
  </si>
  <si>
    <t>付费分析</t>
    <phoneticPr fontId="0" type="noConversion"/>
  </si>
  <si>
    <t>付费失败</t>
    <phoneticPr fontId="0" type="noConversion"/>
  </si>
  <si>
    <t>客户端消息栏push</t>
    <phoneticPr fontId="0" type="noConversion"/>
  </si>
  <si>
    <t>Charging话单格式变更-与游戏关联需求</t>
    <phoneticPr fontId="0" type="noConversion"/>
  </si>
  <si>
    <t>客户端消息栏push功能要求：话单新增入库字段IMEI</t>
    <phoneticPr fontId="0" type="noConversion"/>
  </si>
  <si>
    <t>渠道子渠道活动分析-阶段2，详细需求程卫明</t>
  </si>
  <si>
    <r>
      <rPr>
        <sz val="10"/>
        <rFont val="微软雅黑"/>
        <family val="2"/>
        <charset val="134"/>
      </rPr>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r>
  </si>
  <si>
    <r>
      <rPr>
        <sz val="10"/>
        <rFont val="微软雅黑"/>
        <family val="2"/>
        <charset val="134"/>
      </rPr>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r>
  </si>
  <si>
    <r>
      <rPr>
        <sz val="10"/>
        <rFont val="微软雅黑"/>
        <family val="2"/>
        <charset val="134"/>
      </rPr>
      <t xml:space="preserve">涉及页面：EDC-&gt;联合营销
采用inTouch统一风格
指标内容同 渠道子渠道活动分析-阶段1和阶段2的指标
CP账号只能查询CP相关数据，非CP账号只能查询其授权项目的相关数据
</t>
    </r>
  </si>
  <si>
    <r>
      <rPr>
        <sz val="10"/>
        <rFont val="微软雅黑"/>
        <family val="2"/>
        <charset val="134"/>
      </rPr>
      <t xml:space="preserve">涉及页面：EDC-&gt;精品包
采用inTouch统一风格
CP账号只能查询CP相关数据，非CP账号只能查询其授权项目的相关数据
</t>
    </r>
  </si>
  <si>
    <r>
      <rPr>
        <sz val="10"/>
        <rFont val="微软雅黑"/>
        <family val="2"/>
        <charset val="134"/>
      </rPr>
      <t>后台-&gt;刷量行为识别报表需求
1、《有效下载刷量中间结果表》
系统每天定时执行预处理程序，扫描分析当天的“下载话单”，发现当天同一用户只下载不启动的同一CP的内容超过5个（阈值可配），则记录中间结果。
联合主键：“项目ID”+“日期”+“UserID”+“CP ID”
2、《有效下载刷量嫌疑CP报表》：给出“有刷有效下载嫌疑”的CP列表，以及该CP用来刷量的用户ID。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3、《有效下载刷量嫌疑用户报表》：给出“有刷有效下载嫌疑”的用户列表，以及该用户给哪些CP在刷有效下载量。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4、《榜单刷量中间结果表》
系统每天定时执行预处理程序，扫描分析当天的“下载话单”，发现当天同一设备对同一游戏的下载超过5次（阈值可配），则记录中间结果。
联合主键：“项目ID”+“日期”+“设备ID”+“内容ID”
5、《榜单刷量嫌疑游戏报表》：给出“有刷榜嫌疑”的游戏列表，以及该游戏用来刷榜的设备。
由研发、运维按巡检要求，输出（每周/每月）执行SQL脚本，或者按运营要求指定起止日期（起始和终止日期可相同，即查看某一天），汇总指定起、止日期内每日扫描得到的《榜单刷量中间结果表》，输出如下CSV格式文件，按字段“下载次数”降序排。</t>
    </r>
  </si>
  <si>
    <r>
      <rPr>
        <sz val="10"/>
        <rFont val="微软雅黑"/>
        <family val="2"/>
        <charset val="134"/>
      </rPr>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r>
  </si>
  <si>
    <r>
      <rPr>
        <sz val="10"/>
        <rFont val="微软雅黑"/>
        <family val="2"/>
        <charset val="134"/>
      </rPr>
      <t xml:space="preserve">涉及页面：项目运营分析-&gt;付费分析-&gt;付费分析
需求背景：
  Indosat IAP四网融合项目，需要区分IAP支付渠道
  充值话单中的支付渠道进行区分
外部需求：
    需要游戏侧提供运营商静态定义话单；扣费失败错误码的定义话单
方案场景：
过滤条件：支付渠道下拉框
近日&amp;趋势：图+表；趋势含31日数据；导出 按日
 日期 付费请求次数 付费请求用户数  付费成功次数 付费成功用户数  成功付费金额 成功付费金额（本地币）付费失败次数 付费失败用户数  
时段分析(日期：2016XXXX)：某日24小时；导出
 付费请求次数 付费请求用户数  付费成功次数 付费成功用户数  成功付费金额 成功付费金额（本地币）付费失败次数 付费失败用户数
详细信息：支付渠道维度（含31日数据）；点击查询、导出
 日期 支付渠道 游戏名称 付费请求次数 付费请求用户数  付费成功次数 付费成功用户数  成功付费金额 成功付费金额（本地币）付费失败次数 付费失败用户数  </t>
    </r>
  </si>
  <si>
    <r>
      <rPr>
        <sz val="10"/>
        <rFont val="微软雅黑"/>
        <family val="2"/>
        <charset val="134"/>
      </rPr>
      <t>涉及页面：项目运营分析-&gt;付费分析-&gt;付费失败
需求背景：
  Indosat IAP四网融合项目，需要区分IAP支付渠道
  充值话单中的支付渠道进行区分
外部需求：
    需要游戏侧提供运营商静态定义话单；扣费失败错误码的定义话单
方案场景：
过滤条件：支付渠道下拉框
近日：（近日、7日、30日）
 付费请求次数 付费请求用户数 付费成功次数 付费成功用户数 付费失败次数 付费失败用户数
时段分析(日期：2016XXXX)：某日24小时；导出 （近日、7日、30日）（图表）
 付费失败次数（各种原因展示在一张图里）
详细信息：支付渠道维度（含31日数据）；点击查询、导出 
 日期 支付渠道 游戏 错误原因 付费失败次数 付费失败用户数</t>
    </r>
  </si>
  <si>
    <t>时秋兰 00343530</t>
    <phoneticPr fontId="0" type="noConversion"/>
  </si>
  <si>
    <t>田俊杰 twx345064</t>
    <phoneticPr fontId="0" type="noConversion"/>
  </si>
  <si>
    <t>李文要 00266388</t>
    <phoneticPr fontId="0" type="noConversion"/>
  </si>
  <si>
    <t>马开峰00341915</t>
    <phoneticPr fontId="0" type="noConversion"/>
  </si>
  <si>
    <t>李金玲 00285350</t>
    <phoneticPr fontId="0" type="noConversion"/>
  </si>
  <si>
    <t>陆达君 00152005</t>
    <phoneticPr fontId="0" type="noConversion"/>
  </si>
  <si>
    <t>吉超 00379728</t>
    <phoneticPr fontId="0" type="noConversion"/>
  </si>
  <si>
    <t>需求类型（细化）</t>
  </si>
  <si>
    <t>总工作量(K)</t>
  </si>
  <si>
    <t>功能点</t>
  </si>
  <si>
    <t>工作量(K)</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</si>
  <si>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</si>
  <si>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</si>
  <si>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</si>
  <si>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</si>
  <si>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产业</t>
    </r>
    <r>
      <rPr>
        <b/>
        <sz val="12"/>
        <color rgb="FFFF0000"/>
        <rFont val="Arial"/>
        <family val="2"/>
      </rPr>
      <t>*</t>
    </r>
  </si>
  <si>
    <r>
      <t>工作量(K)</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</si>
  <si>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</si>
  <si>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</si>
  <si>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</si>
  <si>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</si>
  <si>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r>
      <t>预期交付时间点</t>
    </r>
    <r>
      <rPr>
        <b/>
        <sz val="12"/>
        <color rgb="FFFF0000"/>
        <rFont val="Arial"/>
        <family val="2"/>
      </rPr>
      <t>*</t>
    </r>
    <r>
      <rPr>
        <b/>
        <sz val="12"/>
        <color rgb="FF0000FF"/>
        <rFont val="Arial"/>
        <family val="2"/>
      </rPr>
      <t xml:space="preserve"> </t>
    </r>
  </si>
  <si>
    <t>数据源具备时间</t>
  </si>
  <si>
    <t>数据接口确定时间</t>
  </si>
  <si>
    <t>One Data迁移满足度</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</si>
</sst>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s>
  <fonts count="25">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charset val="134"/>
    </font>
    <font>
      <sz val="10"/>
      <color theme="1"/>
      <name val="Arial"/>
      <family val="2"/>
    </font>
    <font>
      <u/>
      <sz val="12"/>
      <color theme="10"/>
      <name val="Arial"/>
      <family val="2"/>
    </font>
    <font>
      <sz val="12"/>
      <name val="Arial"/>
      <family val="2"/>
    </font>
    <font>
      <sz val="9"/>
      <color theme="1"/>
      <name val="Arial"/>
      <family val="2"/>
    </font>
    <font>
      <sz val="8"/>
      <name val="Arial"/>
      <family val="2"/>
    </font>
    <font>
      <sz val="10"/>
      <name val="微软雅黑"/>
      <family val="2"/>
      <charset val="134"/>
    </font>
    <font>
      <b/>
      <sz val="12"/>
      <name val="Arial"/>
      <family val="2"/>
    </font>
    <font>
      <b/>
      <sz val="12"/>
      <color rgb="FFFF0000"/>
      <name val="Arial"/>
      <family val="2"/>
    </font>
    <font>
      <b/>
      <sz val="12"/>
      <color rgb="FF0000FF"/>
      <name val="Arial"/>
      <family val="2"/>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rgb="FFFF99CC"/>
        <bgColor indexed="64"/>
      </patternFill>
    </fill>
  </fills>
  <borders count="5">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71">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49" fontId="17" fillId="6" borderId="4" xfId="18" applyNumberFormat="1" applyFont="1" applyFill="1" applyBorder="1" applyAlignment="1" applyProtection="1">
      <alignment horizontal="left" vertical="center" wrapText="1"/>
    </xf>
    <xf numFmtId="169" fontId="18" fillId="10" borderId="4" xfId="13" applyNumberFormat="1" applyFont="1" applyFill="1" applyBorder="1" applyAlignment="1">
      <alignment horizontal="center" vertical="center"/>
    </xf>
    <xf numFmtId="49" fontId="19" fillId="10" borderId="4" xfId="1" applyNumberFormat="1" applyFont="1" applyFill="1" applyBorder="1" applyAlignment="1">
      <alignment horizontal="left" vertical="center" wrapText="1"/>
    </xf>
    <xf numFmtId="166" fontId="18" fillId="10" borderId="4" xfId="13" applyFont="1" applyFill="1" applyBorder="1">
      <alignment vertical="center"/>
    </xf>
    <xf numFmtId="170" fontId="18" fillId="10" borderId="4" xfId="13" applyNumberFormat="1" applyFont="1" applyFill="1" applyBorder="1">
      <alignment vertical="center"/>
    </xf>
    <xf numFmtId="14" fontId="18" fillId="10" borderId="4" xfId="13" applyNumberFormat="1" applyFont="1" applyFill="1" applyBorder="1" applyAlignment="1">
      <alignment horizontal="right" vertical="center"/>
    </xf>
    <xf numFmtId="166" fontId="18" fillId="10" borderId="4" xfId="13" applyNumberFormat="1" applyFont="1" applyFill="1" applyBorder="1">
      <alignment vertical="center"/>
    </xf>
    <xf numFmtId="166" fontId="19" fillId="10" borderId="4" xfId="1" applyNumberFormat="1" applyFont="1" applyFill="1" applyBorder="1" applyAlignment="1">
      <alignment horizontal="left" vertical="center" wrapText="1"/>
    </xf>
    <xf numFmtId="166" fontId="18" fillId="0" borderId="0" xfId="13" applyFont="1">
      <alignment vertical="center"/>
    </xf>
    <xf numFmtId="166" fontId="18" fillId="6" borderId="4" xfId="13" applyFont="1" applyFill="1" applyBorder="1">
      <alignment vertical="center"/>
    </xf>
    <xf numFmtId="166" fontId="0" fillId="0" borderId="0" xfId="0" applyAlignment="1">
      <alignment horizontal="left" vertical="center" indent="1"/>
    </xf>
    <xf numFmtId="2" fontId="0" fillId="0" borderId="0" xfId="0" applyNumberFormat="1">
      <alignment vertical="center"/>
    </xf>
    <xf numFmtId="14" fontId="0" fillId="0" borderId="0" xfId="0" applyNumberFormat="1" applyAlignment="1">
      <alignment horizontal="left" vertical="center"/>
    </xf>
    <xf numFmtId="171" fontId="0" fillId="0" borderId="0" xfId="0" applyNumberFormat="1" applyAlignment="1">
      <alignment horizontal="left" vertical="center"/>
    </xf>
    <xf numFmtId="2" fontId="16" fillId="10" borderId="4" xfId="1" applyNumberFormat="1" applyFont="1" applyFill="1" applyBorder="1" applyAlignment="1">
      <alignment horizontal="left" vertical="center" wrapText="1"/>
    </xf>
    <xf numFmtId="1" fontId="0" fillId="0" borderId="0" xfId="0" applyNumberFormat="1">
      <alignment vertical="center"/>
    </xf>
    <xf numFmtId="171" fontId="0" fillId="0" borderId="0" xfId="0" pivotButton="1" applyNumberFormat="1">
      <alignment vertical="center"/>
    </xf>
    <xf numFmtId="171" fontId="0" fillId="0" borderId="0" xfId="0" applyNumberFormat="1" applyAlignment="1">
      <alignment horizontal="left" vertical="center" indent="1"/>
    </xf>
    <xf numFmtId="171" fontId="0" fillId="0" borderId="0" xfId="0" applyNumberFormat="1">
      <alignment vertical="center"/>
    </xf>
    <xf numFmtId="166" fontId="22" fillId="3" borderId="4" xfId="19" applyNumberFormat="1" applyFont="1" applyFill="1" applyBorder="1">
      <alignment vertical="center"/>
    </xf>
    <xf numFmtId="170" fontId="22" fillId="3" borderId="4" xfId="19" applyNumberFormat="1" applyFont="1" applyFill="1" applyBorder="1">
      <alignment vertical="center"/>
    </xf>
    <xf numFmtId="2" fontId="22" fillId="5" borderId="4" xfId="19" applyNumberFormat="1" applyFont="1" applyFill="1" applyBorder="1">
      <alignment vertical="center"/>
    </xf>
    <xf numFmtId="166" fontId="22" fillId="0" borderId="3" xfId="19" applyNumberFormat="1" applyFont="1" applyFill="1" applyBorder="1">
      <alignment vertical="center"/>
    </xf>
    <xf numFmtId="166" fontId="22" fillId="0" borderId="4" xfId="19" applyNumberFormat="1" applyFont="1" applyFill="1" applyBorder="1">
      <alignment vertical="center"/>
    </xf>
    <xf numFmtId="170" fontId="22" fillId="5"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70" fontId="18" fillId="6" borderId="4" xfId="13" applyNumberFormat="1" applyFont="1" applyFill="1" applyBorder="1">
      <alignment vertical="center"/>
    </xf>
    <xf numFmtId="170" fontId="19" fillId="10" borderId="4" xfId="1" applyNumberFormat="1" applyFont="1" applyFill="1" applyBorder="1" applyAlignment="1">
      <alignment horizontal="left" vertical="center" wrapText="1"/>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xf numFmtId="49" fontId="16" fillId="11" borderId="4" xfId="1" applyNumberFormat="1" applyFont="1" applyFill="1" applyBorder="1" applyAlignment="1">
      <alignment horizontal="left" vertical="center" wrapText="1"/>
    </xf>
    <xf numFmtId="171" fontId="16" fillId="11" borderId="4" xfId="1" applyNumberFormat="1" applyFont="1" applyFill="1" applyBorder="1" applyAlignment="1">
      <alignment horizontal="left" vertical="center" wrapText="1"/>
    </xf>
    <xf numFmtId="170" fontId="16" fillId="11" borderId="4" xfId="1" applyNumberFormat="1" applyFont="1" applyFill="1" applyBorder="1" applyAlignment="1">
      <alignment horizontal="left" vertical="center" wrapText="1"/>
    </xf>
    <xf numFmtId="166" fontId="20" fillId="11" borderId="4" xfId="7" applyNumberFormat="1" applyFont="1" applyFill="1" applyBorder="1" applyAlignment="1">
      <alignment vertical="center" wrapText="1"/>
    </xf>
    <xf numFmtId="171" fontId="18" fillId="11" borderId="4" xfId="13" applyNumberFormat="1" applyFont="1" applyFill="1" applyBorder="1">
      <alignment vertical="center"/>
    </xf>
    <xf numFmtId="166" fontId="18" fillId="11" borderId="4" xfId="13" applyFont="1" applyFill="1" applyBorder="1">
      <alignment vertical="center"/>
    </xf>
    <xf numFmtId="49" fontId="19" fillId="11" borderId="4" xfId="1" applyNumberFormat="1" applyFont="1" applyFill="1" applyBorder="1" applyAlignment="1">
      <alignment horizontal="left" vertical="center" wrapText="1"/>
    </xf>
    <xf numFmtId="170" fontId="18" fillId="11" borderId="4" xfId="13" applyNumberFormat="1" applyFont="1" applyFill="1" applyBorder="1">
      <alignment vertical="center"/>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10">
    <dxf>
      <numFmt numFmtId="171" formatCode="yyyy\-mm"/>
    </dxf>
    <dxf>
      <numFmt numFmtId="171" formatCode="yyyy\-mm"/>
    </dxf>
    <dxf>
      <numFmt numFmtId="171" formatCode="yyyy\-mm"/>
    </dxf>
    <dxf>
      <numFmt numFmtId="171" formatCode="yyyy\-mm"/>
    </dxf>
    <dxf>
      <numFmt numFmtId="2" formatCode="0.00"/>
    </dxf>
    <dxf>
      <numFmt numFmtId="2" formatCode="0.00"/>
    </dxf>
    <dxf>
      <numFmt numFmtId="1" formatCode="0"/>
    </dxf>
    <dxf>
      <numFmt numFmtId="171" formatCode="yyyy\-mm"/>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calcChain" Target="calcChain.xml"/><Relationship Id="rId10" Type="http://schemas.openxmlformats.org/officeDocument/2006/relationships/externalLink" Target="externalLinks/externalLink4.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[大数据RAT需求汇总_20170606.xlsm]产业月度趋势图!数据透视表5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产业月度趋势图!$B$1</c:f>
              <c:strCache>
                <c:ptCount val="1"/>
                <c:pt idx="0">
                  <c:v>汇总</c:v>
                </c:pt>
              </c:strCache>
            </c:strRef>
          </c:tx>
          <c:spPr>
            <a:solidFill>
              <a:schemeClr val="accent1"/>
            </a:solidFill>
            <a:ln>
              <a:noFill/>
            </a:ln>
            <a:effectLst/>
          </c:spPr>
          <c:invertIfNegative val="0"/>
          <c:cat>
            <c:multiLvlStrRef>
              <c:f>产业月度趋势图!$A$2:$A$10</c:f>
              <c:multiLvlStrCache>
                <c:ptCount val="6"/>
                <c:lvl>
                  <c:pt idx="0">
                    <c:v>2017/1/1</c:v>
                  </c:pt>
                  <c:pt idx="1">
                    <c:v>2017/2/1</c:v>
                  </c:pt>
                  <c:pt idx="2">
                    <c:v>2017/3/1</c:v>
                  </c:pt>
                  <c:pt idx="3">
                    <c:v>2017/4/1</c:v>
                  </c:pt>
                  <c:pt idx="4">
                    <c:v>2017/5/1</c:v>
                  </c:pt>
                  <c:pt idx="5">
                    <c:v>(空白)</c:v>
                  </c:pt>
                </c:lvl>
                <c:lvl>
                  <c:pt idx="0">
                    <c:v>游戏</c:v>
                  </c:pt>
                  <c:pt idx="5">
                    <c:v>(空白)</c:v>
                  </c:pt>
                </c:lvl>
              </c:multiLvlStrCache>
            </c:multiLvlStrRef>
          </c:cat>
          <c:val>
            <c:numRef>
              <c:f>产业月度趋势图!$B$2:$B$10</c:f>
              <c:numCache>
                <c:formatCode>0.00</c:formatCode>
                <c:ptCount val="6"/>
                <c:pt idx="0">
                  <c:v>1.05</c:v>
                </c:pt>
                <c:pt idx="1">
                  <c:v>2.5</c:v>
                </c:pt>
                <c:pt idx="2">
                  <c:v>2</c:v>
                </c:pt>
                <c:pt idx="3">
                  <c:v>1.1499999999999999</c:v>
                </c:pt>
                <c:pt idx="4">
                  <c:v>1.1499999999999999</c:v>
                </c:pt>
              </c:numCache>
            </c:numRef>
          </c:val>
        </c:ser>
        <c:dLbls>
          <c:showLegendKey val="0"/>
          <c:showVal val="0"/>
          <c:showCatName val="0"/>
          <c:showSerName val="0"/>
          <c:showPercent val="0"/>
          <c:showBubbleSize val="0"/>
        </c:dLbls>
        <c:gapWidth val="219"/>
        <c:overlap val="-27"/>
        <c:axId val="898726840"/>
        <c:axId val="898727232"/>
      </c:barChart>
      <c:catAx>
        <c:axId val="89872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727232"/>
        <c:crosses val="autoZero"/>
        <c:auto val="1"/>
        <c:lblAlgn val="ctr"/>
        <c:lblOffset val="100"/>
        <c:noMultiLvlLbl val="0"/>
      </c:catAx>
      <c:valAx>
        <c:axId val="898727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726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336174</xdr:colOff>
      <xdr:row>5</xdr:row>
      <xdr:rowOff>62753</xdr:rowOff>
    </xdr:from>
    <xdr:to>
      <xdr:col>19</xdr:col>
      <xdr:colOff>246530</xdr:colOff>
      <xdr:row>31</xdr:row>
      <xdr:rowOff>56030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 xml:space="preserve">zhangjian 00200084
</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 xml:space="preserve">zhangjian 00200084
</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00255622" refreshedDate="42892.602886689812" createdVersion="5" refreshedVersion="5" minRefreshableVersion="3" recordCount="14">
  <cacheSource type="worksheet">
    <worksheetSource ref="H1:S1048576" sheet="全部RM"/>
  </cacheSource>
  <cacheFields count="12">
    <cacheField name="需求类型*" numFmtId="0">
      <sharedItems containsBlank="1"/>
    </cacheField>
    <cacheField name="项目名称" numFmtId="0">
      <sharedItems containsBlank="1"/>
    </cacheField>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ount="2">
        <s v="正常需求"/>
        <m/>
      </sharedItems>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 name="交付版本号 " numFmtId="0">
      <sharedItems containsNonDate="0" containsString="0" containsBlank="1"/>
    </cacheField>
    <cacheField name="综合结论" numFmtId="0">
      <sharedItems containsBlank="1" count="3">
        <s v="02 接纳|纳入新版本路标规划"/>
        <m/>
        <s v="2 接纳|纳入新版本路标规划"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00255622" refreshedDate="42892.60351296296" createdVersion="5" refreshedVersion="5" minRefreshableVersion="3" recordCount="14">
  <cacheSource type="worksheet">
    <worksheetSource ref="J1:Q1048576" sheet="全部RM"/>
  </cacheSource>
  <cacheFields count="8">
    <cacheField name="产业*" numFmtId="0">
      <sharedItems containsBlank="1" count="2">
        <s v="游戏"/>
        <m/>
      </sharedItems>
    </cacheField>
    <cacheField name="工作量(K)*" numFmtId="2">
      <sharedItems containsString="0" containsBlank="1" containsNumber="1" minValue="0.1" maxValue="1.5"/>
    </cacheField>
    <cacheField name="需求类型（细化）" numFmtId="49">
      <sharedItems containsBlank="1"/>
    </cacheField>
    <cacheField name="数据源具备时间" numFmtId="170">
      <sharedItems containsNonDate="0" containsString="0" containsBlank="1"/>
    </cacheField>
    <cacheField name="数据接口确定时间" numFmtId="170">
      <sharedItems containsNonDate="0" containsString="0" containsBlank="1"/>
    </cacheField>
    <cacheField name="One Data迁移满足度" numFmtId="170">
      <sharedItems containsNonDate="0" containsString="0" containsBlank="1"/>
    </cacheField>
    <cacheField name="预期交付时间点* " numFmtId="0">
      <sharedItems containsBlank="1"/>
    </cacheField>
    <cacheField name="月度版本N（交付时间为 N+1月底 ）" numFmtId="171">
      <sharedItems containsNonDate="0" containsDate="1" containsString="0" containsBlank="1" minDate="2017-01-01T00:00:00" maxDate="2017-05-02T00:00:00" count="6">
        <d v="2017-01-01T00:00:00"/>
        <d v="2017-02-01T00:00:00"/>
        <d v="2017-03-01T00:00:00"/>
        <d v="2017-04-01T00:00:00"/>
        <d v="2017-05-01T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
  <r>
    <s v="功能 Function"/>
    <s v="All"/>
    <x v="0"/>
    <n v="0.3"/>
    <x v="0"/>
    <m/>
    <m/>
    <m/>
    <s v="2017-07-30"/>
    <x v="0"/>
    <m/>
    <x v="0"/>
  </r>
  <r>
    <s v="功能 Function"/>
    <m/>
    <x v="0"/>
    <n v="0.1"/>
    <x v="0"/>
    <m/>
    <m/>
    <m/>
    <m/>
    <x v="0"/>
    <m/>
    <x v="0"/>
  </r>
  <r>
    <s v="功能 Function"/>
    <m/>
    <x v="0"/>
    <n v="0.3"/>
    <x v="0"/>
    <m/>
    <m/>
    <m/>
    <m/>
    <x v="0"/>
    <m/>
    <x v="0"/>
  </r>
  <r>
    <s v="功能 Function"/>
    <m/>
    <x v="0"/>
    <n v="0.15"/>
    <x v="0"/>
    <m/>
    <m/>
    <m/>
    <m/>
    <x v="0"/>
    <m/>
    <x v="0"/>
  </r>
  <r>
    <s v="功能 Function"/>
    <m/>
    <x v="0"/>
    <n v="0.2"/>
    <x v="0"/>
    <m/>
    <m/>
    <m/>
    <m/>
    <x v="0"/>
    <m/>
    <x v="0"/>
  </r>
  <r>
    <s v="功能 Function"/>
    <m/>
    <x v="0"/>
    <n v="1.5"/>
    <x v="0"/>
    <m/>
    <m/>
    <m/>
    <m/>
    <x v="1"/>
    <m/>
    <x v="0"/>
  </r>
  <r>
    <s v="功能 Function"/>
    <m/>
    <x v="0"/>
    <n v="1"/>
    <x v="0"/>
    <m/>
    <m/>
    <m/>
    <m/>
    <x v="1"/>
    <m/>
    <x v="0"/>
  </r>
  <r>
    <s v="功能 Function"/>
    <m/>
    <x v="0"/>
    <n v="1"/>
    <x v="0"/>
    <m/>
    <m/>
    <m/>
    <m/>
    <x v="2"/>
    <m/>
    <x v="0"/>
  </r>
  <r>
    <s v="功能 Function"/>
    <m/>
    <x v="0"/>
    <n v="1"/>
    <x v="0"/>
    <m/>
    <m/>
    <m/>
    <m/>
    <x v="2"/>
    <m/>
    <x v="0"/>
  </r>
  <r>
    <s v="功能 Function"/>
    <m/>
    <x v="0"/>
    <n v="0.15"/>
    <x v="0"/>
    <m/>
    <m/>
    <m/>
    <m/>
    <x v="3"/>
    <m/>
    <x v="0"/>
  </r>
  <r>
    <s v="功能 Function"/>
    <m/>
    <x v="0"/>
    <n v="15"/>
    <x v="0"/>
    <m/>
    <m/>
    <m/>
    <m/>
    <x v="3"/>
    <m/>
    <x v="0"/>
  </r>
  <r>
    <s v="功能 Function"/>
    <m/>
    <x v="0"/>
    <n v="0.15"/>
    <x v="0"/>
    <m/>
    <m/>
    <m/>
    <m/>
    <x v="4"/>
    <m/>
    <x v="0"/>
  </r>
  <r>
    <s v="功能 Function"/>
    <m/>
    <x v="0"/>
    <n v="1"/>
    <x v="0"/>
    <m/>
    <m/>
    <m/>
    <m/>
    <x v="4"/>
    <m/>
    <x v="0"/>
  </r>
  <r>
    <m/>
    <m/>
    <x v="1"/>
    <m/>
    <x v="1"/>
    <m/>
    <m/>
    <m/>
    <m/>
    <x v="5"/>
    <m/>
    <x v="1"/>
  </r>
</pivotCacheRecords>
</file>

<file path=xl/pivotCache/pivotCacheRecords2.xml><?xml version="1.0" encoding="utf-8"?>
<pivotCacheRecords xmlns="http://schemas.openxmlformats.org/spreadsheetml/2006/main" xmlns:r="http://schemas.openxmlformats.org/officeDocument/2006/relationships" count="14">
  <r>
    <x v="0"/>
    <n v="0.3"/>
    <s v="正常需求"/>
    <m/>
    <m/>
    <m/>
    <s v="2017-07-30"/>
    <x v="0"/>
  </r>
  <r>
    <x v="0"/>
    <n v="0.1"/>
    <s v="正常需求"/>
    <m/>
    <m/>
    <m/>
    <m/>
    <x v="0"/>
  </r>
  <r>
    <x v="0"/>
    <n v="0.3"/>
    <s v="正常需求"/>
    <m/>
    <m/>
    <m/>
    <m/>
    <x v="0"/>
  </r>
  <r>
    <x v="0"/>
    <n v="0.15"/>
    <s v="正常需求"/>
    <m/>
    <m/>
    <m/>
    <m/>
    <x v="0"/>
  </r>
  <r>
    <x v="0"/>
    <n v="0.2"/>
    <s v="正常需求"/>
    <m/>
    <m/>
    <m/>
    <m/>
    <x v="0"/>
  </r>
  <r>
    <x v="0"/>
    <n v="1.5"/>
    <s v="正常需求"/>
    <m/>
    <m/>
    <m/>
    <m/>
    <x v="1"/>
  </r>
  <r>
    <x v="0"/>
    <n v="1"/>
    <s v="正常需求"/>
    <m/>
    <m/>
    <m/>
    <m/>
    <x v="1"/>
  </r>
  <r>
    <x v="0"/>
    <n v="1"/>
    <s v="正常需求"/>
    <m/>
    <m/>
    <m/>
    <m/>
    <x v="2"/>
  </r>
  <r>
    <x v="0"/>
    <n v="1"/>
    <s v="正常需求"/>
    <m/>
    <m/>
    <m/>
    <m/>
    <x v="2"/>
  </r>
  <r>
    <x v="0"/>
    <n v="0.15"/>
    <s v="正常需求"/>
    <m/>
    <m/>
    <m/>
    <m/>
    <x v="3"/>
  </r>
  <r>
    <x v="0"/>
    <n v="1"/>
    <s v="正常需求"/>
    <m/>
    <m/>
    <m/>
    <m/>
    <x v="3"/>
  </r>
  <r>
    <x v="0"/>
    <n v="0.15"/>
    <s v="正常需求"/>
    <m/>
    <m/>
    <m/>
    <m/>
    <x v="4"/>
  </r>
  <r>
    <x v="0"/>
    <n v="1"/>
    <s v="正常需求"/>
    <m/>
    <m/>
    <m/>
    <m/>
    <x v="4"/>
  </r>
  <r>
    <x v="1"/>
    <m/>
    <m/>
    <m/>
    <m/>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4" cacheId="219"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C7" firstHeaderRow="0" firstDataRow="1" firstDataCol="1" rowPageCount="3" colPageCount="1"/>
  <pivotFields count="12">
    <pivotField showAll="0"/>
    <pivotField showAll="0"/>
    <pivotField axis="axisRow" showAll="0">
      <items count="3">
        <item x="0"/>
        <item x="1"/>
        <item t="default"/>
      </items>
    </pivotField>
    <pivotField dataField="1" showAll="0"/>
    <pivotField axis="axisPage" showAll="0">
      <items count="3">
        <item x="0"/>
        <item x="1"/>
        <item t="default"/>
      </items>
    </pivotField>
    <pivotField showAll="0" defaultSubtotal="0"/>
    <pivotField showAll="0" defaultSubtotal="0"/>
    <pivotField showAll="0" defaultSubtotal="0"/>
    <pivotField showAll="0" defaultSubtotal="0"/>
    <pivotField axis="axisPage" showAll="0">
      <items count="7">
        <item x="0"/>
        <item x="1"/>
        <item x="2"/>
        <item x="3"/>
        <item x="4"/>
        <item x="5"/>
        <item t="default"/>
      </items>
    </pivotField>
    <pivotField showAll="0"/>
    <pivotField axis="axisPage" showAll="0">
      <items count="4">
        <item x="0"/>
        <item m="1" x="2"/>
        <item x="1"/>
        <item t="default"/>
      </items>
    </pivotField>
  </pivotFields>
  <rowFields count="1">
    <field x="2"/>
  </rowFields>
  <rowItems count="2">
    <i>
      <x/>
    </i>
    <i t="grand">
      <x/>
    </i>
  </rowItems>
  <colFields count="1">
    <field x="-2"/>
  </colFields>
  <colItems count="2">
    <i>
      <x/>
    </i>
    <i i="1">
      <x v="1"/>
    </i>
  </colItems>
  <pageFields count="3">
    <pageField fld="9" item="0" hier="-1"/>
    <pageField fld="11" hier="-1"/>
    <pageField fld="4" hier="-1"/>
  </pageFields>
  <dataFields count="2">
    <dataField name="总工作量(K)" fld="3" baseField="2" baseItem="0" numFmtId="2"/>
    <dataField name="功能点" fld="3" subtotal="count" baseField="2" baseItem="0" numFmtId="1"/>
  </dataFields>
  <formats count="2">
    <format dxfId="7">
      <pivotArea dataOnly="0" labelOnly="1" outline="0" fieldPosition="0">
        <references count="2">
          <reference field="9" count="1">
            <x v="0"/>
          </reference>
          <reference field="11" count="1" selected="0">
            <x v="0"/>
          </reference>
        </references>
      </pivotArea>
    </format>
    <format dxfId="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22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B10" firstHeaderRow="1" firstDataRow="1" firstDataCol="1"/>
  <pivotFields count="8">
    <pivotField axis="axisRow" showAll="0">
      <items count="3">
        <item x="0"/>
        <item x="1"/>
        <item t="default"/>
      </items>
    </pivotField>
    <pivotField dataField="1" showAll="0"/>
    <pivotField showAll="0"/>
    <pivotField showAll="0" defaultSubtotal="0"/>
    <pivotField showAll="0" defaultSubtotal="0"/>
    <pivotField showAll="0" defaultSubtotal="0"/>
    <pivotField showAll="0" defaultSubtotal="0"/>
    <pivotField axis="axisRow" showAll="0">
      <items count="7">
        <item x="0"/>
        <item x="1"/>
        <item x="2"/>
        <item x="3"/>
        <item x="4"/>
        <item x="5"/>
        <item t="default"/>
      </items>
    </pivotField>
  </pivotFields>
  <rowFields count="2">
    <field x="0"/>
    <field x="7"/>
  </rowFields>
  <rowItems count="9">
    <i>
      <x/>
    </i>
    <i r="1">
      <x/>
    </i>
    <i r="1">
      <x v="1"/>
    </i>
    <i r="1">
      <x v="2"/>
    </i>
    <i r="1">
      <x v="3"/>
    </i>
    <i r="1">
      <x v="4"/>
    </i>
    <i>
      <x v="1"/>
    </i>
    <i r="1">
      <x v="5"/>
    </i>
    <i t="grand">
      <x/>
    </i>
  </rowItems>
  <colItems count="1">
    <i/>
  </colItems>
  <dataFields count="1">
    <dataField name="工作量(K)" fld="1" baseField="0" baseItem="0" numFmtId="2"/>
  </dataFields>
  <formats count="6">
    <format dxfId="5">
      <pivotArea outline="0" collapsedLevelsAreSubtotals="1" fieldPosition="0"/>
    </format>
    <format dxfId="4">
      <pivotArea dataOnly="0" labelOnly="1" outline="0" axis="axisValues"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fieldPosition="0">
        <references count="2">
          <reference field="0" count="1" selected="0">
            <x v="0"/>
          </reference>
          <reference field="7" count="0"/>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9"/>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8"/>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75"/>
  <cols>
    <col min="1" max="1" width="9.3984375" customWidth="1"/>
    <col min="2" max="2" width="9.69921875" customWidth="1"/>
    <col min="3" max="3" width="18.09765625" customWidth="1"/>
    <col min="4" max="4" width="15.09765625" customWidth="1"/>
    <col min="5" max="5" width="36" customWidth="1"/>
    <col min="6" max="6" width="24.69921875" customWidth="1"/>
    <col min="7" max="7" width="23.3984375" customWidth="1"/>
    <col min="8" max="8" width="25.09765625" customWidth="1"/>
    <col min="9" max="9" width="14.19921875" customWidth="1"/>
    <col min="22" max="22" width="23.296875" customWidth="1"/>
    <col min="23" max="23" width="36.296875" customWidth="1"/>
    <col min="24" max="24" width="27.09765625" customWidth="1"/>
    <col min="25" max="25" width="18.09765625" customWidth="1"/>
    <col min="26" max="26" width="20.59765625" customWidth="1"/>
    <col min="27" max="27" width="29.19921875" customWidth="1"/>
    <col min="28" max="28" width="20.3984375" customWidth="1"/>
    <col min="29" max="29" width="26.296875" customWidth="1"/>
    <col min="30" max="30" width="16.69921875" customWidth="1"/>
    <col min="31" max="31" width="15.8984375" customWidth="1"/>
    <col min="32" max="32" width="18.19921875" customWidth="1"/>
    <col min="33" max="33" width="16.796875" customWidth="1"/>
    <col min="34" max="34" width="9.8984375" customWidth="1"/>
    <col min="35" max="35" width="17.8984375" customWidth="1"/>
    <col min="36" max="36" width="25.3984375" customWidth="1"/>
    <col min="37" max="37" width="24.796875" customWidth="1"/>
    <col min="38" max="38" width="26.296875" customWidth="1"/>
    <col min="39" max="39" width="13.09765625" customWidth="1"/>
    <col min="40" max="40" width="16.09765625" customWidth="1"/>
    <col min="41" max="41" width="9.5976562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5">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B14"/>
  <sheetViews>
    <sheetView tabSelected="1" zoomScale="70" zoomScaleNormal="70" zoomScaleSheetLayoutView="115" workbookViewId="0">
      <pane ySplit="1" topLeftCell="A2" activePane="bottomLeft" state="frozen"/>
      <selection pane="bottomLeft" activeCell="AA1" sqref="A1:AA1"/>
    </sheetView>
  </sheetViews>
  <sheetFormatPr defaultColWidth="8.796875" defaultRowHeight="15"/>
  <cols>
    <col min="1" max="1" width="12.3984375" style="33" customWidth="1"/>
    <col min="2" max="2" width="28.69921875" style="34" customWidth="1"/>
    <col min="3" max="3" width="81.69921875" style="35" customWidth="1"/>
    <col min="4" max="4" width="13.69921875" style="35" customWidth="1"/>
    <col min="5" max="5" width="13.69921875" style="36" customWidth="1"/>
    <col min="6" max="6" width="13.3984375" style="36" customWidth="1"/>
    <col min="7" max="7" width="17.8984375" style="37" customWidth="1"/>
    <col min="8" max="8" width="13.19921875" style="38" customWidth="1"/>
    <col min="9" max="9" width="8.59765625" style="38" customWidth="1"/>
    <col min="10" max="10" width="19.296875" style="39" customWidth="1"/>
    <col min="11" max="11" width="11.3984375" style="46" customWidth="1"/>
    <col min="12" max="12" width="14.8984375" style="34" customWidth="1"/>
    <col min="13" max="13" width="16.09765625" style="58" customWidth="1"/>
    <col min="14" max="14" width="16" style="59" customWidth="1"/>
    <col min="15" max="15" width="20.69921875" style="59" customWidth="1"/>
    <col min="16" max="16" width="16.19921875" style="66" customWidth="1"/>
    <col min="17" max="17" width="27.296875" style="67" customWidth="1"/>
    <col min="18" max="18" width="15.19921875" style="68" customWidth="1"/>
    <col min="19" max="19" width="17.19921875" style="68" customWidth="1"/>
    <col min="20" max="20" width="18.3984375" style="69" customWidth="1"/>
    <col min="21" max="21" width="12.69921875" style="70" customWidth="1"/>
    <col min="22" max="22" width="11" style="41" customWidth="1"/>
    <col min="23" max="23" width="18.296875" style="41" customWidth="1"/>
    <col min="24" max="24" width="18.59765625" style="41" customWidth="1"/>
    <col min="25" max="25" width="8.69921875" style="41" customWidth="1"/>
    <col min="26" max="26" width="10.296875" style="41" customWidth="1"/>
    <col min="27" max="27" width="8.69921875" style="41" customWidth="1"/>
    <col min="28" max="16384" width="8.796875" style="40"/>
  </cols>
  <sheetData>
    <row r="1" spans="1:28" s="55" customFormat="1" ht="48" customHeight="1">
      <c r="A1" s="51" t="s">
        <v>79</v>
      </c>
      <c r="B1" s="51" t="s">
        <v>129</v>
      </c>
      <c r="C1" s="51" t="s">
        <v>130</v>
      </c>
      <c r="D1" s="51" t="s">
        <v>89</v>
      </c>
      <c r="E1" s="52" t="s">
        <v>95</v>
      </c>
      <c r="F1" s="51" t="s">
        <v>71</v>
      </c>
      <c r="G1" s="51" t="s">
        <v>131</v>
      </c>
      <c r="H1" s="51" t="s">
        <v>132</v>
      </c>
      <c r="I1" s="51" t="s">
        <v>78</v>
      </c>
      <c r="J1" s="51" t="s">
        <v>133</v>
      </c>
      <c r="K1" s="53" t="s">
        <v>134</v>
      </c>
      <c r="L1" s="53" t="s">
        <v>125</v>
      </c>
      <c r="M1" s="56" t="s">
        <v>140</v>
      </c>
      <c r="N1" s="56" t="s">
        <v>141</v>
      </c>
      <c r="O1" s="56" t="s">
        <v>142</v>
      </c>
      <c r="P1" s="56" t="s">
        <v>139</v>
      </c>
      <c r="Q1" s="56" t="s">
        <v>61</v>
      </c>
      <c r="R1" s="56" t="s">
        <v>62</v>
      </c>
      <c r="S1" s="56" t="s">
        <v>63</v>
      </c>
      <c r="T1" s="56" t="s">
        <v>55</v>
      </c>
      <c r="U1" s="56" t="s">
        <v>64</v>
      </c>
      <c r="V1" s="51" t="s">
        <v>135</v>
      </c>
      <c r="W1" s="51" t="s">
        <v>65</v>
      </c>
      <c r="X1" s="51" t="s">
        <v>136</v>
      </c>
      <c r="Y1" s="51" t="s">
        <v>137</v>
      </c>
      <c r="Z1" s="51" t="s">
        <v>138</v>
      </c>
      <c r="AA1" s="51" t="s">
        <v>70</v>
      </c>
      <c r="AB1" s="54"/>
    </row>
    <row r="2" spans="1:28" s="31" customFormat="1" ht="12.75">
      <c r="A2" s="28"/>
      <c r="B2" s="28" t="s">
        <v>86</v>
      </c>
      <c r="C2" s="28" t="s">
        <v>87</v>
      </c>
      <c r="D2" s="28" t="s">
        <v>90</v>
      </c>
      <c r="E2" s="29">
        <v>42795</v>
      </c>
      <c r="F2" s="29"/>
      <c r="G2" s="28" t="s">
        <v>84</v>
      </c>
      <c r="H2" s="28" t="s">
        <v>91</v>
      </c>
      <c r="I2" s="28" t="s">
        <v>88</v>
      </c>
      <c r="J2" s="28" t="s">
        <v>82</v>
      </c>
      <c r="K2" s="46">
        <v>0.3</v>
      </c>
      <c r="L2" s="28" t="s">
        <v>57</v>
      </c>
      <c r="M2" s="57"/>
      <c r="N2" s="29"/>
      <c r="O2" s="29"/>
      <c r="P2" s="63"/>
      <c r="Q2" s="64"/>
      <c r="R2" s="63"/>
      <c r="S2" s="63"/>
      <c r="T2" s="63"/>
      <c r="U2" s="65"/>
      <c r="V2" s="30"/>
      <c r="W2" s="30"/>
      <c r="X2" s="30"/>
      <c r="Y2" s="30"/>
      <c r="Z2" s="30"/>
      <c r="AA2" s="30"/>
    </row>
    <row r="3" spans="1:28" s="31" customFormat="1" ht="89.25">
      <c r="A3" s="28"/>
      <c r="B3" s="28" t="s">
        <v>92</v>
      </c>
      <c r="C3" s="28" t="s">
        <v>93</v>
      </c>
      <c r="D3" s="28" t="s">
        <v>94</v>
      </c>
      <c r="E3" s="29">
        <v>42826</v>
      </c>
      <c r="F3" s="29"/>
      <c r="G3" s="28" t="s">
        <v>84</v>
      </c>
      <c r="H3" s="28" t="s">
        <v>91</v>
      </c>
      <c r="I3" s="28"/>
      <c r="J3" s="28" t="s">
        <v>82</v>
      </c>
      <c r="K3" s="46">
        <v>0.1</v>
      </c>
      <c r="L3" s="28" t="s">
        <v>57</v>
      </c>
      <c r="M3" s="57"/>
      <c r="N3" s="29"/>
      <c r="O3" s="29"/>
      <c r="P3" s="63"/>
      <c r="Q3" s="64"/>
      <c r="R3" s="63"/>
      <c r="S3" s="63"/>
      <c r="T3" s="63"/>
      <c r="U3" s="65"/>
      <c r="V3" s="30"/>
      <c r="W3" s="30"/>
      <c r="X3" s="30"/>
      <c r="Y3" s="30"/>
      <c r="Z3" s="30"/>
      <c r="AA3" s="30"/>
    </row>
    <row r="4" spans="1:28" s="31" customFormat="1" ht="12.75">
      <c r="A4" s="28"/>
      <c r="B4" s="28" t="s">
        <v>96</v>
      </c>
      <c r="C4" s="28" t="s">
        <v>109</v>
      </c>
      <c r="D4" s="28" t="s">
        <v>118</v>
      </c>
      <c r="E4" s="29">
        <v>42795</v>
      </c>
      <c r="F4" s="29"/>
      <c r="G4" s="28" t="s">
        <v>84</v>
      </c>
      <c r="H4" s="28" t="s">
        <v>91</v>
      </c>
      <c r="I4" s="28"/>
      <c r="J4" s="28" t="s">
        <v>82</v>
      </c>
      <c r="K4" s="46">
        <v>0.3</v>
      </c>
      <c r="L4" s="28" t="s">
        <v>57</v>
      </c>
      <c r="M4" s="57"/>
      <c r="N4" s="29"/>
      <c r="O4" s="29"/>
      <c r="P4" s="63"/>
      <c r="Q4" s="64"/>
      <c r="R4" s="63"/>
      <c r="S4" s="63"/>
      <c r="T4" s="63"/>
      <c r="U4" s="65"/>
      <c r="V4" s="30"/>
      <c r="W4" s="30"/>
      <c r="X4" s="30"/>
      <c r="Y4" s="30"/>
      <c r="Z4" s="30"/>
      <c r="AA4" s="30"/>
    </row>
    <row r="5" spans="1:28" s="31" customFormat="1" ht="66">
      <c r="A5" s="28"/>
      <c r="B5" s="28" t="s">
        <v>97</v>
      </c>
      <c r="C5" s="28" t="s">
        <v>110</v>
      </c>
      <c r="D5" s="28" t="s">
        <v>119</v>
      </c>
      <c r="E5" s="29">
        <v>42789</v>
      </c>
      <c r="F5" s="29"/>
      <c r="G5" s="28" t="s">
        <v>84</v>
      </c>
      <c r="H5" s="28" t="s">
        <v>91</v>
      </c>
      <c r="I5" s="28"/>
      <c r="J5" s="28" t="s">
        <v>82</v>
      </c>
      <c r="K5" s="46">
        <v>0.15</v>
      </c>
      <c r="L5" s="28" t="s">
        <v>57</v>
      </c>
      <c r="M5" s="57"/>
      <c r="N5" s="29"/>
      <c r="O5" s="29"/>
      <c r="P5" s="63"/>
      <c r="Q5" s="64"/>
      <c r="R5" s="63"/>
      <c r="S5" s="63"/>
      <c r="T5" s="63"/>
      <c r="U5" s="65"/>
      <c r="V5" s="30"/>
      <c r="W5" s="30"/>
      <c r="X5" s="32"/>
      <c r="Y5" s="30"/>
      <c r="Z5" s="30"/>
      <c r="AA5" s="30"/>
    </row>
    <row r="6" spans="1:28" s="31" customFormat="1" ht="25.5">
      <c r="A6" s="28"/>
      <c r="B6" s="28" t="s">
        <v>98</v>
      </c>
      <c r="C6" s="28" t="s">
        <v>107</v>
      </c>
      <c r="D6" s="28" t="s">
        <v>120</v>
      </c>
      <c r="E6" s="29">
        <v>42758</v>
      </c>
      <c r="F6" s="29"/>
      <c r="G6" s="28" t="s">
        <v>84</v>
      </c>
      <c r="H6" s="28" t="s">
        <v>91</v>
      </c>
      <c r="I6" s="28"/>
      <c r="J6" s="28" t="s">
        <v>82</v>
      </c>
      <c r="K6" s="46">
        <v>0.2</v>
      </c>
      <c r="L6" s="28" t="s">
        <v>57</v>
      </c>
      <c r="M6" s="57"/>
      <c r="N6" s="29"/>
      <c r="O6" s="29"/>
      <c r="P6" s="63"/>
      <c r="Q6" s="64"/>
      <c r="R6" s="63"/>
      <c r="S6" s="63"/>
      <c r="T6" s="63"/>
      <c r="U6" s="65"/>
      <c r="V6" s="30"/>
      <c r="W6" s="30"/>
      <c r="X6" s="30"/>
      <c r="Y6" s="30"/>
      <c r="Z6" s="30"/>
      <c r="AA6" s="30"/>
    </row>
    <row r="7" spans="1:28" s="31" customFormat="1" ht="409.5">
      <c r="A7" s="28"/>
      <c r="B7" s="28" t="s">
        <v>99</v>
      </c>
      <c r="C7" s="28" t="s">
        <v>111</v>
      </c>
      <c r="D7" s="28" t="s">
        <v>121</v>
      </c>
      <c r="E7" s="29">
        <v>42826</v>
      </c>
      <c r="F7" s="29"/>
      <c r="G7" s="28" t="s">
        <v>84</v>
      </c>
      <c r="H7" s="28" t="s">
        <v>91</v>
      </c>
      <c r="I7" s="28"/>
      <c r="J7" s="28" t="s">
        <v>82</v>
      </c>
      <c r="K7" s="46">
        <v>1.5</v>
      </c>
      <c r="L7" s="28" t="s">
        <v>57</v>
      </c>
      <c r="M7" s="57"/>
      <c r="N7" s="29"/>
      <c r="O7" s="29"/>
      <c r="P7" s="63"/>
      <c r="Q7" s="64"/>
      <c r="R7" s="63"/>
      <c r="S7" s="63"/>
      <c r="T7" s="63"/>
      <c r="U7" s="65"/>
      <c r="V7" s="30"/>
      <c r="W7" s="30"/>
      <c r="X7" s="30"/>
      <c r="Y7" s="30"/>
      <c r="Z7" s="30"/>
      <c r="AA7" s="30"/>
    </row>
    <row r="8" spans="1:28" s="31" customFormat="1" ht="99">
      <c r="A8" s="28"/>
      <c r="B8" s="28" t="s">
        <v>100</v>
      </c>
      <c r="C8" s="28" t="s">
        <v>112</v>
      </c>
      <c r="D8" s="28" t="s">
        <v>122</v>
      </c>
      <c r="E8" s="29">
        <v>42795</v>
      </c>
      <c r="F8" s="29"/>
      <c r="G8" s="28" t="s">
        <v>84</v>
      </c>
      <c r="H8" s="28" t="s">
        <v>91</v>
      </c>
      <c r="I8" s="28"/>
      <c r="J8" s="28" t="s">
        <v>82</v>
      </c>
      <c r="K8" s="46">
        <v>1</v>
      </c>
      <c r="L8" s="28" t="s">
        <v>57</v>
      </c>
      <c r="M8" s="57"/>
      <c r="N8" s="29"/>
      <c r="O8" s="29"/>
      <c r="P8" s="63"/>
      <c r="Q8" s="64"/>
      <c r="R8" s="63"/>
      <c r="S8" s="63"/>
      <c r="T8" s="63"/>
      <c r="U8" s="65"/>
      <c r="V8" s="30"/>
      <c r="W8" s="30"/>
      <c r="X8" s="30"/>
      <c r="Y8" s="30"/>
      <c r="Z8" s="30"/>
      <c r="AA8" s="30"/>
    </row>
    <row r="9" spans="1:28" s="31" customFormat="1" ht="82.5">
      <c r="A9" s="28"/>
      <c r="B9" s="28" t="s">
        <v>101</v>
      </c>
      <c r="C9" s="28" t="s">
        <v>113</v>
      </c>
      <c r="D9" s="28" t="s">
        <v>121</v>
      </c>
      <c r="E9" s="29">
        <v>42826</v>
      </c>
      <c r="F9" s="29"/>
      <c r="G9" s="28" t="s">
        <v>84</v>
      </c>
      <c r="H9" s="28" t="s">
        <v>91</v>
      </c>
      <c r="I9" s="28"/>
      <c r="J9" s="28" t="s">
        <v>82</v>
      </c>
      <c r="K9" s="46">
        <v>1</v>
      </c>
      <c r="L9" s="28" t="s">
        <v>57</v>
      </c>
      <c r="M9" s="57"/>
      <c r="N9" s="29"/>
      <c r="O9" s="29"/>
      <c r="P9" s="63"/>
      <c r="Q9" s="64"/>
      <c r="R9" s="63"/>
      <c r="S9" s="63"/>
      <c r="T9" s="63"/>
      <c r="U9" s="65"/>
      <c r="V9" s="30"/>
      <c r="W9" s="30"/>
      <c r="X9" s="30"/>
      <c r="Y9" s="30"/>
      <c r="Z9" s="30"/>
      <c r="AA9" s="30"/>
    </row>
    <row r="10" spans="1:28" s="31" customFormat="1" ht="297">
      <c r="A10" s="28"/>
      <c r="B10" s="28" t="s">
        <v>102</v>
      </c>
      <c r="C10" s="28" t="s">
        <v>114</v>
      </c>
      <c r="D10" s="28" t="s">
        <v>123</v>
      </c>
      <c r="E10" s="29">
        <v>42803</v>
      </c>
      <c r="F10" s="29"/>
      <c r="G10" s="28" t="s">
        <v>84</v>
      </c>
      <c r="H10" s="28" t="s">
        <v>91</v>
      </c>
      <c r="I10" s="28"/>
      <c r="J10" s="28" t="s">
        <v>82</v>
      </c>
      <c r="K10" s="46">
        <v>1</v>
      </c>
      <c r="L10" s="28" t="s">
        <v>57</v>
      </c>
      <c r="M10" s="57"/>
      <c r="N10" s="29"/>
      <c r="O10" s="29"/>
      <c r="P10" s="63"/>
      <c r="Q10" s="64"/>
      <c r="R10" s="63"/>
      <c r="S10" s="63"/>
      <c r="T10" s="63"/>
      <c r="U10" s="65"/>
      <c r="V10" s="30"/>
      <c r="W10" s="30"/>
      <c r="X10" s="30"/>
      <c r="Y10" s="30"/>
      <c r="Z10" s="30"/>
      <c r="AA10" s="30"/>
    </row>
    <row r="11" spans="1:28" s="31" customFormat="1" ht="82.5">
      <c r="A11" s="28"/>
      <c r="B11" s="28" t="s">
        <v>103</v>
      </c>
      <c r="C11" s="28" t="s">
        <v>115</v>
      </c>
      <c r="D11" s="28" t="s">
        <v>120</v>
      </c>
      <c r="E11" s="29">
        <v>42836</v>
      </c>
      <c r="F11" s="29"/>
      <c r="G11" s="28" t="s">
        <v>84</v>
      </c>
      <c r="H11" s="28" t="s">
        <v>91</v>
      </c>
      <c r="I11" s="28"/>
      <c r="J11" s="28" t="s">
        <v>82</v>
      </c>
      <c r="K11" s="46">
        <v>0.15</v>
      </c>
      <c r="L11" s="28" t="s">
        <v>57</v>
      </c>
      <c r="M11" s="57"/>
      <c r="N11" s="29"/>
      <c r="O11" s="29"/>
      <c r="P11" s="63"/>
      <c r="Q11" s="64"/>
      <c r="R11" s="63"/>
      <c r="S11" s="63"/>
      <c r="T11" s="63"/>
      <c r="U11" s="65"/>
      <c r="V11" s="30"/>
      <c r="W11" s="30"/>
      <c r="X11" s="30"/>
      <c r="Y11" s="30"/>
      <c r="Z11" s="30"/>
      <c r="AA11" s="30"/>
    </row>
    <row r="12" spans="1:28" s="31" customFormat="1" ht="264">
      <c r="A12" s="28"/>
      <c r="B12" s="28" t="s">
        <v>104</v>
      </c>
      <c r="C12" s="28" t="s">
        <v>116</v>
      </c>
      <c r="D12" s="28" t="s">
        <v>124</v>
      </c>
      <c r="E12" s="29">
        <v>42678</v>
      </c>
      <c r="F12" s="29"/>
      <c r="G12" s="28" t="s">
        <v>84</v>
      </c>
      <c r="H12" s="28" t="s">
        <v>91</v>
      </c>
      <c r="I12" s="28"/>
      <c r="J12" s="28" t="s">
        <v>82</v>
      </c>
      <c r="K12" s="46">
        <v>1</v>
      </c>
      <c r="L12" s="28" t="s">
        <v>57</v>
      </c>
      <c r="M12" s="57"/>
      <c r="N12" s="29"/>
      <c r="O12" s="29"/>
      <c r="P12" s="63"/>
      <c r="Q12" s="64"/>
      <c r="R12" s="63"/>
      <c r="S12" s="63"/>
      <c r="T12" s="63"/>
      <c r="U12" s="65"/>
      <c r="V12" s="30"/>
      <c r="W12" s="30"/>
      <c r="X12" s="30"/>
      <c r="Y12" s="30"/>
      <c r="Z12" s="30"/>
      <c r="AA12" s="30"/>
    </row>
    <row r="13" spans="1:28" s="31" customFormat="1" ht="231">
      <c r="A13" s="28"/>
      <c r="B13" s="28" t="s">
        <v>105</v>
      </c>
      <c r="C13" s="28" t="s">
        <v>117</v>
      </c>
      <c r="D13" s="28" t="s">
        <v>124</v>
      </c>
      <c r="E13" s="29">
        <v>42678</v>
      </c>
      <c r="F13" s="29"/>
      <c r="G13" s="28" t="s">
        <v>84</v>
      </c>
      <c r="H13" s="28" t="s">
        <v>91</v>
      </c>
      <c r="I13" s="28"/>
      <c r="J13" s="28" t="s">
        <v>82</v>
      </c>
      <c r="K13" s="46">
        <v>0.15</v>
      </c>
      <c r="L13" s="28" t="s">
        <v>57</v>
      </c>
      <c r="M13" s="57"/>
      <c r="N13" s="29"/>
      <c r="O13" s="29"/>
      <c r="P13" s="63"/>
      <c r="Q13" s="64"/>
      <c r="R13" s="63"/>
      <c r="S13" s="63"/>
      <c r="T13" s="63"/>
      <c r="U13" s="65"/>
      <c r="V13" s="30"/>
      <c r="W13" s="30"/>
      <c r="X13" s="30"/>
      <c r="Y13" s="30"/>
      <c r="Z13" s="30"/>
      <c r="AA13" s="30"/>
    </row>
    <row r="14" spans="1:28" s="31" customFormat="1" ht="12.75">
      <c r="A14" s="28"/>
      <c r="B14" s="28" t="s">
        <v>106</v>
      </c>
      <c r="C14" s="28" t="s">
        <v>108</v>
      </c>
      <c r="D14" s="28" t="s">
        <v>120</v>
      </c>
      <c r="E14" s="29">
        <v>42826</v>
      </c>
      <c r="F14" s="29"/>
      <c r="G14" s="28" t="s">
        <v>84</v>
      </c>
      <c r="H14" s="28" t="s">
        <v>91</v>
      </c>
      <c r="I14" s="28"/>
      <c r="J14" s="28" t="s">
        <v>82</v>
      </c>
      <c r="K14" s="46">
        <v>1</v>
      </c>
      <c r="L14" s="28" t="s">
        <v>57</v>
      </c>
      <c r="M14" s="57"/>
      <c r="N14" s="29"/>
      <c r="O14" s="29"/>
      <c r="P14" s="63"/>
      <c r="Q14" s="64"/>
      <c r="R14" s="63"/>
      <c r="S14" s="63"/>
      <c r="T14" s="63"/>
      <c r="U14" s="65"/>
      <c r="V14" s="30"/>
      <c r="W14" s="30"/>
      <c r="X14" s="30"/>
      <c r="Y14" s="30"/>
      <c r="Z14" s="30"/>
      <c r="AA14" s="30"/>
    </row>
  </sheetData>
  <autoFilter ref="A1:AB14"/>
  <phoneticPr fontId="2" type="noConversion"/>
  <dataValidations count="9">
    <dataValidation type="list" allowBlank="1" showInputMessage="1" showErrorMessage="1" sqref="L15:L1048576">
      <formula1>"正常需求,客户CR,SA问题,解决方案问题,内部安全整改,部件问题"</formula1>
    </dataValidation>
    <dataValidation type="list" allowBlank="1" showInputMessage="1" showErrorMessage="1" sqref="Y2:Y1048576 V2:V14">
      <formula1>"是,否"</formula1>
    </dataValidation>
    <dataValidation type="list" allowBlank="1" showInputMessage="1" showErrorMessage="1" sqref="L2:L14">
      <formula1>"正常需求,客户CR,SA问题,解决方案问题,安全需求/问题,部件问题,内部安全整改"</formula1>
    </dataValidation>
    <dataValidation type="list" allowBlank="1" showInputMessage="1" showErrorMessage="1" sqref="J1:J14">
      <formula1>部件</formula1>
    </dataValidation>
    <dataValidation type="list" allowBlank="1" showInputMessage="1" showErrorMessage="1" sqref="G1:G14">
      <formula1>需求处理人</formula1>
    </dataValidation>
    <dataValidation type="list" allowBlank="1" showInputMessage="1" showErrorMessage="1" sqref="I1:I14">
      <formula1>项目</formula1>
    </dataValidation>
    <dataValidation type="list" allowBlank="1" showInputMessage="1" showErrorMessage="1" sqref="AA1:AA1048576">
      <formula1>"是，否"</formula1>
    </dataValidation>
    <dataValidation type="list" allowBlank="1" showInputMessage="1" showErrorMessage="1" sqref="H1:H1048576">
      <formula1>"功能 Function, 内部优化"</formula1>
    </dataValidation>
    <dataValidation type="list" allowBlank="1" showInputMessage="1" showErrorMessage="1" sqref="S1:S1048576">
      <formula1>"01 定期审视,02 接纳|进行当前版本基线规格更改,02 接纳|现有版本特性已经满足该需求,02 接纳|中标后开发,02 接纳|签单后开发,02 接纳|纳入新版本路标规划,02 接纳|此前已接纳类似需求，需求单号详见结论意见,03 退回|因未能及时反馈签单信息而退回,03 退回|该需求暂时无法实施，我们将其归档供以后参考,03 退回|需求不清晰，需要提交人补充,03 退回|不属于需求电子流管理范围,03 退回|不接纳，详见结论意见,03 退回|请提交网上问题流程处理"</formula1>
    </dataValidation>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8"/>
  <sheetViews>
    <sheetView workbookViewId="0">
      <selection activeCell="B21" sqref="B21"/>
    </sheetView>
  </sheetViews>
  <sheetFormatPr defaultRowHeight="15.75"/>
  <cols>
    <col min="1" max="1" width="27.296875" customWidth="1"/>
    <col min="2" max="2" width="9.3984375" style="6" customWidth="1"/>
    <col min="3" max="3" width="5.69921875" style="6" customWidth="1"/>
    <col min="214" max="950" width="67.69921875" bestFit="1" customWidth="1"/>
    <col min="951" max="951" width="4.796875" customWidth="1"/>
  </cols>
  <sheetData>
    <row r="1" spans="1:3">
      <c r="A1" s="3" t="s">
        <v>66</v>
      </c>
      <c r="B1" s="44">
        <v>42736</v>
      </c>
      <c r="C1"/>
    </row>
    <row r="2" spans="1:3">
      <c r="A2" s="3" t="s">
        <v>56</v>
      </c>
      <c r="B2" s="18" t="s">
        <v>68</v>
      </c>
      <c r="C2"/>
    </row>
    <row r="3" spans="1:3">
      <c r="A3" s="3" t="s">
        <v>125</v>
      </c>
      <c r="B3" s="18" t="s">
        <v>68</v>
      </c>
      <c r="C3"/>
    </row>
    <row r="4" spans="1:3">
      <c r="B4"/>
      <c r="C4"/>
    </row>
    <row r="5" spans="1:3">
      <c r="A5" s="3" t="s">
        <v>69</v>
      </c>
      <c r="B5" s="18" t="s">
        <v>126</v>
      </c>
      <c r="C5" s="18" t="s">
        <v>127</v>
      </c>
    </row>
    <row r="6" spans="1:3">
      <c r="A6" s="4" t="s">
        <v>82</v>
      </c>
      <c r="B6" s="43">
        <v>1.05</v>
      </c>
      <c r="C6" s="47">
        <v>5</v>
      </c>
    </row>
    <row r="7" spans="1:3">
      <c r="A7" s="4" t="s">
        <v>1</v>
      </c>
      <c r="B7" s="43">
        <v>1.05</v>
      </c>
      <c r="C7" s="47">
        <v>5</v>
      </c>
    </row>
    <row r="8" spans="1:3">
      <c r="B8"/>
      <c r="C8"/>
    </row>
    <row r="9" spans="1:3">
      <c r="B9"/>
      <c r="C9"/>
    </row>
    <row r="10" spans="1:3">
      <c r="B10"/>
      <c r="C10"/>
    </row>
    <row r="11" spans="1:3">
      <c r="B11"/>
      <c r="C11"/>
    </row>
    <row r="12" spans="1:3">
      <c r="B12"/>
      <c r="C12"/>
    </row>
    <row r="13" spans="1:3">
      <c r="B13"/>
      <c r="C13"/>
    </row>
    <row r="14" spans="1:3">
      <c r="B14"/>
      <c r="C14"/>
    </row>
    <row r="15" spans="1:3">
      <c r="B15"/>
      <c r="C15"/>
    </row>
    <row r="16" spans="1:3">
      <c r="B16"/>
      <c r="C16"/>
    </row>
    <row r="17" spans="2:3">
      <c r="B17"/>
      <c r="C17"/>
    </row>
    <row r="18" spans="2:3">
      <c r="B18"/>
      <c r="C18"/>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10"/>
  <sheetViews>
    <sheetView zoomScale="85" zoomScaleNormal="85" workbookViewId="0">
      <selection activeCell="B24" sqref="B24"/>
    </sheetView>
  </sheetViews>
  <sheetFormatPr defaultRowHeight="15.75"/>
  <cols>
    <col min="1" max="1" width="11" style="50" bestFit="1" customWidth="1"/>
    <col min="2" max="2" width="8" style="43" customWidth="1"/>
    <col min="3" max="3" width="6.59765625" customWidth="1"/>
    <col min="4" max="4" width="6.3984375" customWidth="1"/>
    <col min="5" max="5" width="8.296875" customWidth="1"/>
    <col min="6" max="7" width="5.3984375" customWidth="1"/>
    <col min="8" max="8" width="9.69921875" customWidth="1"/>
    <col min="9" max="10" width="5.3984375" customWidth="1"/>
    <col min="11" max="11" width="6.59765625" customWidth="1"/>
    <col min="12" max="12" width="5.69921875" customWidth="1"/>
    <col min="13" max="13" width="15.296875" customWidth="1"/>
    <col min="14" max="14" width="5.3984375" customWidth="1"/>
    <col min="15" max="15" width="6.3984375" customWidth="1"/>
    <col min="16" max="17" width="5.3984375" customWidth="1"/>
    <col min="18" max="18" width="8.09765625" customWidth="1"/>
    <col min="19" max="19" width="11.296875" customWidth="1"/>
    <col min="20" max="20" width="9.3984375" customWidth="1"/>
    <col min="21" max="21" width="6.69921875" customWidth="1"/>
    <col min="22" max="22" width="6.3984375" customWidth="1"/>
    <col min="23" max="23" width="7.296875" customWidth="1"/>
    <col min="24" max="24" width="6.296875" customWidth="1"/>
    <col min="25" max="25" width="6.19921875" customWidth="1"/>
    <col min="26" max="26" width="9.59765625" customWidth="1"/>
    <col min="27" max="27" width="5.3984375" customWidth="1"/>
    <col min="28" max="28" width="8.69921875" customWidth="1"/>
    <col min="29" max="29" width="5.59765625" customWidth="1"/>
    <col min="30" max="31" width="5.3984375" customWidth="1"/>
    <col min="32" max="32" width="9.69921875" customWidth="1"/>
    <col min="33" max="33" width="5.3984375" customWidth="1"/>
    <col min="34" max="34" width="12.19921875" customWidth="1"/>
    <col min="35" max="35" width="9.69921875" customWidth="1"/>
    <col min="36" max="36" width="5.3984375" customWidth="1"/>
    <col min="37" max="37" width="7.3984375" customWidth="1"/>
    <col min="38" max="70" width="38" bestFit="1" customWidth="1"/>
    <col min="71" max="71" width="19.3984375" bestFit="1" customWidth="1"/>
    <col min="72" max="72" width="41.3984375" bestFit="1" customWidth="1"/>
    <col min="73" max="74" width="7.796875" customWidth="1"/>
    <col min="75" max="75" width="12.3984375" customWidth="1"/>
    <col min="76" max="76" width="10.19921875" bestFit="1" customWidth="1"/>
    <col min="77" max="77" width="7.796875" customWidth="1"/>
    <col min="78" max="78" width="7.8984375" customWidth="1"/>
    <col min="79" max="79" width="12.69921875" bestFit="1" customWidth="1"/>
    <col min="80" max="80" width="9.19921875" bestFit="1" customWidth="1"/>
    <col min="81" max="81" width="11.59765625" bestFit="1" customWidth="1"/>
    <col min="82" max="82" width="5.796875" customWidth="1"/>
    <col min="83" max="87" width="7.796875" customWidth="1"/>
    <col min="88" max="89" width="7.8984375" customWidth="1"/>
    <col min="90" max="91" width="7.796875" customWidth="1"/>
    <col min="92" max="92" width="8.09765625" customWidth="1"/>
    <col min="93" max="93" width="9.796875" bestFit="1" customWidth="1"/>
    <col min="94" max="96" width="7.796875" customWidth="1"/>
    <col min="97" max="97" width="12.296875" bestFit="1" customWidth="1"/>
    <col min="98" max="98" width="18.796875" bestFit="1" customWidth="1"/>
    <col min="99" max="99" width="21.3984375" bestFit="1" customWidth="1"/>
    <col min="100" max="100" width="7.8984375" customWidth="1"/>
    <col min="101" max="101" width="9.3984375" bestFit="1" customWidth="1"/>
    <col min="102" max="102" width="12.796875" bestFit="1" customWidth="1"/>
    <col min="103" max="103" width="15.3984375" bestFit="1" customWidth="1"/>
    <col min="104" max="104" width="9.09765625" bestFit="1" customWidth="1"/>
    <col min="105" max="108" width="7.796875" customWidth="1"/>
    <col min="109" max="110" width="7.8984375" customWidth="1"/>
    <col min="111" max="111" width="7.796875" customWidth="1"/>
    <col min="112" max="112" width="5.796875" customWidth="1"/>
    <col min="113" max="113" width="11.3984375" bestFit="1" customWidth="1"/>
    <col min="114" max="114" width="11.796875" bestFit="1" customWidth="1"/>
    <col min="115" max="116" width="7.796875" customWidth="1"/>
    <col min="117" max="118" width="7.8984375" customWidth="1"/>
    <col min="119" max="120" width="7.796875" customWidth="1"/>
    <col min="121" max="121" width="14.3984375" bestFit="1" customWidth="1"/>
    <col min="122" max="122" width="14.8984375" bestFit="1" customWidth="1"/>
    <col min="123" max="123" width="17.3984375" bestFit="1" customWidth="1"/>
    <col min="124" max="124" width="7.796875" customWidth="1"/>
    <col min="125" max="125" width="8.3984375" customWidth="1"/>
    <col min="126" max="126" width="5.3984375" customWidth="1"/>
    <col min="127" max="131" width="7.796875" customWidth="1"/>
    <col min="132" max="133" width="7.8984375" customWidth="1"/>
    <col min="134" max="134" width="7.19921875" customWidth="1"/>
    <col min="135" max="135" width="11.8984375" bestFit="1" customWidth="1"/>
    <col min="136" max="139" width="7.796875" customWidth="1"/>
    <col min="140" max="141" width="7.8984375" customWidth="1"/>
    <col min="142" max="142" width="7.796875" customWidth="1"/>
    <col min="143" max="143" width="14.59765625" bestFit="1" customWidth="1"/>
    <col min="144" max="144" width="9.3984375" bestFit="1" customWidth="1"/>
    <col min="145" max="145" width="12" bestFit="1" customWidth="1"/>
    <col min="146" max="146" width="12.09765625" bestFit="1" customWidth="1"/>
    <col min="147" max="150" width="7.796875" customWidth="1"/>
    <col min="151" max="152" width="7.8984375" customWidth="1"/>
    <col min="153" max="153" width="14.796875" bestFit="1" customWidth="1"/>
    <col min="154" max="154" width="12.296875" bestFit="1" customWidth="1"/>
    <col min="155" max="155" width="14.8984375" bestFit="1" customWidth="1"/>
    <col min="156" max="156" width="10.19921875" bestFit="1" customWidth="1"/>
    <col min="157" max="157" width="12.69921875" bestFit="1" customWidth="1"/>
    <col min="158" max="158" width="9.796875" bestFit="1" customWidth="1"/>
    <col min="159" max="159" width="7.796875" customWidth="1"/>
    <col min="160" max="160" width="12.296875" bestFit="1" customWidth="1"/>
    <col min="161" max="161" width="11.69921875" bestFit="1" customWidth="1"/>
    <col min="162" max="166" width="7.796875" customWidth="1"/>
    <col min="167" max="167" width="7.8984375" customWidth="1"/>
    <col min="168" max="168" width="7.796875" customWidth="1"/>
    <col min="169" max="169" width="5.796875" customWidth="1"/>
    <col min="170" max="170" width="14.3984375" bestFit="1" customWidth="1"/>
    <col min="171" max="171" width="12.59765625" bestFit="1" customWidth="1"/>
    <col min="172" max="172" width="7.796875" customWidth="1"/>
    <col min="173" max="173" width="15.19921875" bestFit="1" customWidth="1"/>
    <col min="174" max="174" width="16.296875" bestFit="1" customWidth="1"/>
    <col min="175" max="175" width="18.8984375" bestFit="1" customWidth="1"/>
    <col min="176" max="176" width="13.296875" bestFit="1" customWidth="1"/>
    <col min="177" max="178" width="7.796875" customWidth="1"/>
    <col min="179" max="179" width="7.8984375" customWidth="1"/>
    <col min="180" max="180" width="7.796875" customWidth="1"/>
    <col min="181" max="181" width="16" bestFit="1" customWidth="1"/>
    <col min="182" max="182" width="9.796875" bestFit="1" customWidth="1"/>
    <col min="183" max="183" width="7.796875" customWidth="1"/>
    <col min="184" max="184" width="12.296875" bestFit="1" customWidth="1"/>
    <col min="185" max="185" width="13.296875" bestFit="1" customWidth="1"/>
    <col min="186" max="187" width="7.796875" customWidth="1"/>
    <col min="188" max="188" width="16" bestFit="1" customWidth="1"/>
    <col min="189" max="189" width="20.69921875" bestFit="1" customWidth="1"/>
    <col min="190" max="190" width="7.796875" customWidth="1"/>
    <col min="191" max="192" width="7.8984375" customWidth="1"/>
    <col min="193" max="193" width="23.3984375" bestFit="1" customWidth="1"/>
    <col min="194" max="194" width="17" bestFit="1" customWidth="1"/>
    <col min="195" max="195" width="19.69921875" bestFit="1" customWidth="1"/>
    <col min="196" max="196" width="13.296875" bestFit="1" customWidth="1"/>
    <col min="197" max="197" width="16" bestFit="1" customWidth="1"/>
    <col min="198" max="198" width="9.19921875" bestFit="1" customWidth="1"/>
    <col min="199" max="203" width="7.796875" customWidth="1"/>
    <col min="204" max="204" width="11.59765625" bestFit="1" customWidth="1"/>
    <col min="205" max="205" width="9.19921875" bestFit="1" customWidth="1"/>
    <col min="206" max="209" width="7.796875" customWidth="1"/>
    <col min="210" max="211" width="7.8984375" customWidth="1"/>
    <col min="212" max="213" width="7.796875" customWidth="1"/>
    <col min="214" max="214" width="11.59765625" bestFit="1" customWidth="1"/>
    <col min="215" max="215" width="9.19921875" bestFit="1" customWidth="1"/>
    <col min="216" max="217" width="7.8984375" customWidth="1"/>
    <col min="218" max="221" width="7.796875" customWidth="1"/>
    <col min="222" max="222" width="11.59765625" bestFit="1" customWidth="1"/>
    <col min="223" max="223" width="9.796875" bestFit="1" customWidth="1"/>
    <col min="224" max="224" width="7.796875" customWidth="1"/>
    <col min="225" max="225" width="12.296875" bestFit="1" customWidth="1"/>
    <col min="226" max="226" width="13.296875" bestFit="1" customWidth="1"/>
    <col min="227" max="227" width="7.796875" customWidth="1"/>
    <col min="228" max="228" width="16" bestFit="1" customWidth="1"/>
    <col min="229" max="229" width="11.69921875" bestFit="1" customWidth="1"/>
    <col min="230" max="230" width="14.3984375" bestFit="1" customWidth="1"/>
    <col min="231" max="231" width="15.59765625" bestFit="1" customWidth="1"/>
    <col min="232" max="232" width="18.296875" bestFit="1" customWidth="1"/>
    <col min="233" max="233" width="11.3984375" bestFit="1" customWidth="1"/>
    <col min="234" max="235" width="7.8984375" customWidth="1"/>
    <col min="236" max="236" width="7.796875" customWidth="1"/>
    <col min="237" max="237" width="14.09765625" bestFit="1" customWidth="1"/>
    <col min="238" max="238" width="17.3984375" bestFit="1" customWidth="1"/>
    <col min="239" max="239" width="20.09765625" bestFit="1" customWidth="1"/>
    <col min="240" max="240" width="20.19921875" bestFit="1" customWidth="1"/>
    <col min="241" max="241" width="22.796875" bestFit="1" customWidth="1"/>
    <col min="242" max="242" width="14.19921875" bestFit="1" customWidth="1"/>
    <col min="243" max="247" width="7.796875" customWidth="1"/>
    <col min="248" max="248" width="7.8984375" customWidth="1"/>
    <col min="249" max="249" width="16.8984375" bestFit="1" customWidth="1"/>
    <col min="250" max="250" width="10" bestFit="1" customWidth="1"/>
    <col min="251" max="254" width="7.796875" customWidth="1"/>
    <col min="255" max="255" width="12.3984375" bestFit="1" customWidth="1"/>
    <col min="256" max="256" width="14.09765625" bestFit="1" customWidth="1"/>
    <col min="257" max="257" width="16.69921875" bestFit="1" customWidth="1"/>
    <col min="258" max="258" width="9.796875" bestFit="1" customWidth="1"/>
    <col min="259" max="259" width="12.296875" bestFit="1" customWidth="1"/>
    <col min="260" max="260" width="17" bestFit="1" customWidth="1"/>
    <col min="261" max="265" width="7.796875" customWidth="1"/>
    <col min="266" max="266" width="7.8984375" customWidth="1"/>
    <col min="267" max="267" width="7.796875" customWidth="1"/>
    <col min="268" max="268" width="5.796875" customWidth="1"/>
    <col min="269" max="269" width="19.69921875" bestFit="1" customWidth="1"/>
    <col min="270" max="270" width="13.296875" bestFit="1" customWidth="1"/>
    <col min="271" max="271" width="7.8984375" customWidth="1"/>
    <col min="272" max="272" width="16" bestFit="1" customWidth="1"/>
    <col min="273" max="273" width="9.796875" bestFit="1" customWidth="1"/>
    <col min="274" max="274" width="7.796875" customWidth="1"/>
    <col min="275" max="275" width="12.296875" bestFit="1" customWidth="1"/>
    <col min="276" max="276" width="10.3984375" bestFit="1" customWidth="1"/>
    <col min="277" max="279" width="7.796875" customWidth="1"/>
    <col min="280" max="280" width="13" bestFit="1" customWidth="1"/>
    <col min="281" max="281" width="11.3984375" bestFit="1" customWidth="1"/>
    <col min="282" max="283" width="7.796875" customWidth="1"/>
    <col min="284" max="284" width="7.8984375" customWidth="1"/>
    <col min="285" max="285" width="14" bestFit="1" customWidth="1"/>
    <col min="286" max="286" width="9.796875" bestFit="1" customWidth="1"/>
    <col min="287" max="291" width="7.796875" customWidth="1"/>
    <col min="292" max="292" width="12.296875" bestFit="1" customWidth="1"/>
    <col min="293" max="293" width="12.796875" bestFit="1" customWidth="1"/>
    <col min="294" max="295" width="7.796875" customWidth="1"/>
    <col min="296" max="296" width="7.8984375" customWidth="1"/>
    <col min="297" max="297" width="15.3984375" bestFit="1" customWidth="1"/>
    <col min="298" max="298" width="11.19921875" bestFit="1" customWidth="1"/>
    <col min="299" max="302" width="7.796875" customWidth="1"/>
    <col min="303" max="303" width="13.796875" bestFit="1" customWidth="1"/>
    <col min="304" max="304" width="13.296875" bestFit="1" customWidth="1"/>
    <col min="305" max="305" width="7.8984375" customWidth="1"/>
    <col min="306" max="306" width="16" bestFit="1" customWidth="1"/>
    <col min="307" max="307" width="9.796875" bestFit="1" customWidth="1"/>
    <col min="308" max="308" width="7.8984375" customWidth="1"/>
    <col min="309" max="309" width="12.296875" bestFit="1" customWidth="1"/>
    <col min="310" max="310" width="13.296875" bestFit="1" customWidth="1"/>
    <col min="311" max="311" width="16" bestFit="1" customWidth="1"/>
    <col min="312" max="312" width="13.796875" bestFit="1" customWidth="1"/>
    <col min="313" max="313" width="16.3984375" bestFit="1" customWidth="1"/>
    <col min="314" max="314" width="15.19921875" bestFit="1" customWidth="1"/>
    <col min="315" max="318" width="7.796875" customWidth="1"/>
    <col min="319" max="319" width="17.796875" bestFit="1" customWidth="1"/>
    <col min="320" max="320" width="17" bestFit="1" customWidth="1"/>
    <col min="321" max="324" width="7.796875" customWidth="1"/>
    <col min="325" max="325" width="7.8984375" customWidth="1"/>
    <col min="326" max="326" width="19.69921875" bestFit="1" customWidth="1"/>
    <col min="327" max="327" width="9.796875" bestFit="1" customWidth="1"/>
    <col min="328" max="328" width="12.296875" bestFit="1" customWidth="1"/>
    <col min="329" max="329" width="7.3984375" customWidth="1"/>
  </cols>
  <sheetData>
    <row r="1" spans="1:2">
      <c r="A1" s="48" t="s">
        <v>69</v>
      </c>
      <c r="B1" s="43" t="s">
        <v>128</v>
      </c>
    </row>
    <row r="2" spans="1:2">
      <c r="A2" s="45" t="s">
        <v>82</v>
      </c>
      <c r="B2" s="43">
        <v>7.85</v>
      </c>
    </row>
    <row r="3" spans="1:2">
      <c r="A3" s="49">
        <v>42736</v>
      </c>
      <c r="B3" s="43">
        <v>1.05</v>
      </c>
    </row>
    <row r="4" spans="1:2">
      <c r="A4" s="49">
        <v>42767</v>
      </c>
      <c r="B4" s="43">
        <v>2.5</v>
      </c>
    </row>
    <row r="5" spans="1:2">
      <c r="A5" s="49">
        <v>42795</v>
      </c>
      <c r="B5" s="43">
        <v>2</v>
      </c>
    </row>
    <row r="6" spans="1:2">
      <c r="A6" s="49">
        <v>42826</v>
      </c>
      <c r="B6" s="43">
        <v>1.1499999999999999</v>
      </c>
    </row>
    <row r="7" spans="1:2">
      <c r="A7" s="49">
        <v>42856</v>
      </c>
      <c r="B7" s="43">
        <v>1.1499999999999999</v>
      </c>
    </row>
    <row r="8" spans="1:2">
      <c r="A8" s="45" t="s">
        <v>67</v>
      </c>
    </row>
    <row r="9" spans="1:2">
      <c r="A9" s="42" t="s">
        <v>67</v>
      </c>
    </row>
    <row r="10" spans="1:2">
      <c r="A10" s="45" t="s">
        <v>1</v>
      </c>
      <c r="B10" s="43">
        <v>7.85</v>
      </c>
    </row>
  </sheetData>
  <phoneticPr fontId="2" type="noConversion"/>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D21" sqref="D21"/>
    </sheetView>
  </sheetViews>
  <sheetFormatPr defaultColWidth="8.8984375" defaultRowHeight="14.25"/>
  <cols>
    <col min="1" max="1" width="16.09765625" style="5" customWidth="1"/>
    <col min="2" max="2" width="21.796875" style="2" customWidth="1"/>
    <col min="3" max="3" width="11.296875" style="8" customWidth="1"/>
    <col min="4" max="16384" width="8.8984375" style="2"/>
  </cols>
  <sheetData>
    <row r="1" spans="1:8" s="6" customFormat="1" ht="16.5" customHeight="1">
      <c r="A1" s="60" t="s">
        <v>80</v>
      </c>
      <c r="B1" s="61" t="s">
        <v>72</v>
      </c>
      <c r="C1" s="62" t="s">
        <v>81</v>
      </c>
      <c r="D1" s="62"/>
      <c r="E1" s="62"/>
      <c r="F1" s="62"/>
    </row>
    <row r="2" spans="1:8" s="6" customFormat="1" ht="19.5">
      <c r="A2" s="60"/>
      <c r="B2" s="61"/>
      <c r="C2" s="26" t="s">
        <v>73</v>
      </c>
      <c r="D2" s="26" t="s">
        <v>74</v>
      </c>
      <c r="E2" s="26" t="s">
        <v>75</v>
      </c>
      <c r="F2" s="26" t="s">
        <v>76</v>
      </c>
      <c r="H2" s="9"/>
    </row>
    <row r="3" spans="1:8" s="6" customFormat="1" ht="18.75" customHeight="1">
      <c r="A3" s="27" t="s">
        <v>82</v>
      </c>
      <c r="B3" s="10">
        <v>45</v>
      </c>
      <c r="C3" s="11">
        <v>2</v>
      </c>
      <c r="D3" s="11">
        <v>10</v>
      </c>
      <c r="E3" s="11">
        <f>(C3+D3)</f>
        <v>12</v>
      </c>
      <c r="F3" s="12">
        <f>PRODUCT(B3,E3,22)/1000</f>
        <v>11.88</v>
      </c>
    </row>
    <row r="4" spans="1:8" s="6" customFormat="1" ht="18.75" customHeight="1">
      <c r="A4" s="27" t="s">
        <v>83</v>
      </c>
      <c r="B4" s="10">
        <v>45</v>
      </c>
      <c r="C4" s="11">
        <v>2</v>
      </c>
      <c r="D4" s="11">
        <v>3</v>
      </c>
      <c r="E4" s="11">
        <f>(C4+D4)</f>
        <v>5</v>
      </c>
      <c r="F4" s="12">
        <f>PRODUCT(B4,E4,22)/1000</f>
        <v>4.95</v>
      </c>
    </row>
    <row r="5" spans="1:8" s="6" customFormat="1" ht="15.75">
      <c r="A5" s="13" t="s">
        <v>77</v>
      </c>
      <c r="B5" s="13"/>
      <c r="C5" s="14">
        <f>SUM(C3:C4)</f>
        <v>4</v>
      </c>
      <c r="D5" s="14">
        <f>SUM(D3:D4)</f>
        <v>13</v>
      </c>
      <c r="E5" s="14">
        <f>SUM(E3:E4)</f>
        <v>17</v>
      </c>
      <c r="F5" s="14">
        <f>SUM(F3:F4)</f>
        <v>16.830000000000002</v>
      </c>
    </row>
    <row r="6" spans="1:8" s="15" customFormat="1" ht="15.75"/>
    <row r="7" spans="1:8" s="15" customFormat="1" ht="15.7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796875" defaultRowHeight="14.25"/>
  <cols>
    <col min="1" max="1" width="12.8984375" style="16" customWidth="1"/>
    <col min="2" max="2" width="13.8984375" style="16" customWidth="1"/>
    <col min="3" max="3" width="22.59765625" style="16" customWidth="1"/>
    <col min="4" max="16384" width="8.796875" style="16"/>
  </cols>
  <sheetData>
    <row r="1" spans="1:3">
      <c r="A1" s="24" t="s">
        <v>58</v>
      </c>
      <c r="B1" s="24" t="s">
        <v>59</v>
      </c>
      <c r="C1" s="25" t="s">
        <v>60</v>
      </c>
    </row>
    <row r="2" spans="1:3">
      <c r="A2" s="19" t="s">
        <v>88</v>
      </c>
      <c r="B2" s="19" t="s">
        <v>82</v>
      </c>
      <c r="C2" s="21" t="s">
        <v>84</v>
      </c>
    </row>
    <row r="3" spans="1:3">
      <c r="A3" s="19"/>
      <c r="B3" s="19" t="s">
        <v>83</v>
      </c>
      <c r="C3" s="21" t="s">
        <v>85</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Sheet2</vt:lpstr>
      <vt:lpstr>全部RM</vt:lpstr>
      <vt:lpstr>RM统计</vt:lpstr>
      <vt:lpstr>产业月度趋势图</vt:lpstr>
      <vt:lpstr>吞吐量</vt:lpstr>
      <vt:lpstr>常量值</vt:lpstr>
      <vt:lpstr>全部RM!Print_Area</vt:lpstr>
      <vt:lpstr>W1048377U4890</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q00255622</cp:lastModifiedBy>
  <cp:lastPrinted>2007-03-23T05:43:02Z</cp:lastPrinted>
  <dcterms:created xsi:type="dcterms:W3CDTF">2003-11-11T03:59:45Z</dcterms:created>
  <dcterms:modified xsi:type="dcterms:W3CDTF">2017-06-06T12:07:18Z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1496110700</vt:lpwstr>
  </property>
</Properties>
</file>