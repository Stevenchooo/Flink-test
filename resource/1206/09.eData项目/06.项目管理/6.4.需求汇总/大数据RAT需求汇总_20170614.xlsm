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_CBG\Team\06. 项目管理\01. 需求管理\需求汇总\2017\"/>
    </mc:Choice>
  </mc:AlternateContent>
  <bookViews>
    <workbookView xWindow="0" yWindow="-210" windowWidth="11505" windowHeight="4665" tabRatio="627" firstSheet="1" activeTab="1"/>
  </bookViews>
  <sheets>
    <sheet name="Sheet2" sheetId="160" state="hidden" r:id="rId1"/>
    <sheet name="全部RM" sheetId="165" r:id="rId2"/>
    <sheet name="RM统计" sheetId="170" r:id="rId3"/>
    <sheet name="产业月度趋势图" sheetId="174" r:id="rId4"/>
    <sheet name="吞吐量" sheetId="156" r:id="rId5"/>
    <sheet name="常量值" sheetId="190"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1" hidden="1">全部RM!$A$1:$X$14</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全部RM!$A$1:$S$1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需求处理人">常量值!$C$2:$C$24</definedName>
  </definedNames>
  <calcPr calcId="152511"/>
  <pivotCaches>
    <pivotCache cacheId="2" r:id="rId18"/>
    <pivotCache cacheId="3" r:id="rId19"/>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<sst xmlns="http://schemas.openxmlformats.org/spreadsheetml/2006/main" count="273" uniqueCount="173">
  <si>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</si>
  <si>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</si>
  <si>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</si>
  <si>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</si>
  <si>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</si>
  <si>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</si>
  <si>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</si>
  <si>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</si>
  <si>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</si>
  <si>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</si>
  <si>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</si>
  <si>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</si>
  <si>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</si>
  <si>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</si>
  <si>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</si>
  <si>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</si>
  <si>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</si>
  <si>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</si>
  <si>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</si>
  <si>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</si>
  <si>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</si>
  <si>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</si>
  <si>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</si>
  <si>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</si>
  <si>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</si>
  <si>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</si>
  <si>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</si>
  <si>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</si>
  <si>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</si>
  <si>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</si>
  <si>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</si>
  <si>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</si>
  <si>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</si>
  <si>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</si>
  <si>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</si>
  <si>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</si>
  <si>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</si>
  <si>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</si>
  <si>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</si>
  <si>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</si>
  <si>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</si>
  <si>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</si>
  <si>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</si>
  <si>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</si>
  <si>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</si>
  <si>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</si>
  <si>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</si>
  <si>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</si>
  <si>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</si>
  <si>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</si>
  <si>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</si>
  <si>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</si>
  <si>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</si>
  <si>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</si>
  <si>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</si>
  <si>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</si>
  <si>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综合结论</t>
  </si>
  <si>
    <t>正常需求</t>
  </si>
  <si>
    <t>项目名称</t>
    <phoneticPr fontId="2" type="noConversion"/>
  </si>
  <si>
    <t>部件</t>
    <phoneticPr fontId="2" type="noConversion"/>
  </si>
  <si>
    <t>需求处理人</t>
    <phoneticPr fontId="2" type="noConversion"/>
  </si>
  <si>
    <t>决策点</t>
    <phoneticPr fontId="2" type="noConversion"/>
  </si>
  <si>
    <t>月度版本N（交付时间为 N+1月底 ）</t>
  </si>
  <si>
    <t>(空白)</t>
  </si>
  <si>
    <t>(全部)</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</si>
  <si>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</si>
  <si>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</si>
  <si>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</si>
  <si>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</si>
  <si>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</si>
  <si>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</si>
  <si>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</si>
  <si>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</si>
  <si>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</si>
  <si>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</si>
  <si>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</si>
  <si>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</si>
  <si>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</si>
  <si>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</si>
  <si>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</si>
  <si>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</si>
  <si>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</si>
  <si>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</si>
  <si>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</si>
  <si>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</si>
  <si>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</si>
  <si>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</si>
  <si>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</si>
  <si>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</si>
  <si>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</si>
  <si>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</si>
  <si>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</si>
  <si>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t>总工作量(K)</t>
  </si>
  <si>
    <t>功能点</t>
  </si>
  <si>
    <t>工作量(K)</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</si>
  <si>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</si>
  <si>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</si>
  <si>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</si>
  <si>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</si>
  <si>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</si>
  <si>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</si>
  <si>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</si>
  <si>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</si>
  <si>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</si>
  <si>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</si>
  <si>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</si>
  <si>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</si>
  <si>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</si>
  <si>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</si>
  <si>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</si>
  <si>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</si>
  <si>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</si>
  <si>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</si>
  <si>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</si>
  <si>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马开峰00341915</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</si>
  <si>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</si>
  <si>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</si>
  <si>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</si>
  <si>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</si>
  <si>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</si>
  <si>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</si>
  <si>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</si>
  <si>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</si>
  <si>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</si>
  <si>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</si>
  <si>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</si>
  <si>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</si>
  <si>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</si>
  <si>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</si>
  <si>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</si>
  <si>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</si>
  <si>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</si>
  <si>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</si>
  <si>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</si>
  <si>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</si>
  <si>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</si>
  <si>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</si>
  <si>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</si>
  <si>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</si>
  <si>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</si>
  <si>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</si>
  <si>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</si>
  <si>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</si>
  <si>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</si>
  <si>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</si>
  <si>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</si>
  <si>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</si>
  <si>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</si>
  <si>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</si>
  <si>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</si>
  <si>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</si>
  <si>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</si>
  <si>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</si>
  <si>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</si>
  <si>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暂停</t>
  </si>
  <si>
    <t>95%</t>
  </si>
  <si>
    <t>完成</t>
  </si>
  <si>
    <t>20%</t>
  </si>
  <si>
    <t>白板不清楚</t>
  </si>
  <si>
    <t>60%</t>
  </si>
  <si>
    <t>80%</t>
  </si>
  <si>
    <t>45%</t>
  </si>
  <si>
    <t>CI环境恢复和切换到Git</t>
  </si>
  <si>
    <t>环境搭建</t>
  </si>
  <si>
    <t>曹洁生 00265108</t>
  </si>
  <si>
    <t>易数绿区环境升级和基本功能验证</t>
  </si>
  <si>
    <t>测试环境导入现网数据</t>
  </si>
  <si>
    <t>无进度</t>
  </si>
  <si>
    <t>10%</t>
  </si>
  <si>
    <t>30%</t>
  </si>
  <si>
    <t>0%</t>
  </si>
  <si>
    <t>30%，技术难度较大，前段已找技术支持，后端团队内部攻关</t>
  </si>
  <si>
    <t>201706H2</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</si>
</sst>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4">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71">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4" fontId="0" fillId="0" borderId="0" xfId="0" applyNumberFormat="1" applyAlignment="1">
      <alignment horizontal="left" vertical="center"/>
    </xf>
    <xf numFmtId="171" fontId="0" fillId="0" borderId="0" xfId="0" applyNumberFormat="1" applyAlignment="1">
      <alignment horizontal="left" vertical="center"/>
    </xf>
    <xf numFmtId="1" fontId="0" fillId="0" borderId="0" xfId="0" applyNumberFormat="1">
      <alignment vertical="center"/>
    </xf>
    <xf numFmtId="171" fontId="0" fillId="0" borderId="0" xfId="0" pivotButton="1" applyNumberFormat="1">
      <alignment vertical="center"/>
    </xf>
    <xf numFmtId="171" fontId="0" fillId="0" borderId="0" xfId="0" applyNumberFormat="1" applyAlignment="1">
      <alignment horizontal="left" vertical="center" indent="1"/>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70" fontId="4" fillId="10" borderId="4" xfId="13" applyNumberFormat="1"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10">
    <dxf>
      <numFmt numFmtId="171" formatCode="yyyy\-mm"/>
    </dxf>
    <dxf>
      <numFmt numFmtId="171" formatCode="yyyy\-mm"/>
    </dxf>
    <dxf>
      <numFmt numFmtId="171" formatCode="yyyy\-mm"/>
    </dxf>
    <dxf>
      <numFmt numFmtId="171" formatCode="yyyy\-mm"/>
    </dxf>
    <dxf>
      <numFmt numFmtId="2" formatCode="0.00"/>
    </dxf>
    <dxf>
      <numFmt numFmtId="2" formatCode="0.00"/>
    </dxf>
    <dxf>
      <numFmt numFmtId="1" formatCode="0"/>
    </dxf>
    <dxf>
      <numFmt numFmtId="171" formatCode="yyyy\-mm"/>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calcChain" Target="calcChain.xml"/><Relationship Id="rId10" Type="http://schemas.openxmlformats.org/officeDocument/2006/relationships/externalLink" Target="externalLinks/externalLink4.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[大数据RAT需求汇总_20170614.xlsm]产业月度趋势图!数据透视表5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产业月度趋势图!$B$1</c:f>
              <c:strCache>
                <c:ptCount val="1"/>
                <c:pt idx="0">
                  <c:v>汇总</c:v>
                </c:pt>
              </c:strCache>
            </c:strRef>
          </c:tx>
          <c:spPr>
            <a:solidFill>
              <a:schemeClr val="accent1"/>
            </a:solidFill>
            <a:ln>
              <a:noFill/>
            </a:ln>
            <a:effectLst/>
          </c:spPr>
          <c:invertIfNegative val="0"/>
          <c:cat>
            <c:multiLvlStrRef>
              <c:f>产业月度趋势图!$A$2:$A$10</c:f>
              <c:multiLvlStrCache>
                <c:ptCount val="6"/>
                <c:lvl>
                  <c:pt idx="0">
                    <c:v>2017/1/1</c:v>
                  </c:pt>
                  <c:pt idx="1">
                    <c:v>2017/2/1</c:v>
                  </c:pt>
                  <c:pt idx="2">
                    <c:v>2017/3/1</c:v>
                  </c:pt>
                  <c:pt idx="3">
                    <c:v>2017/4/1</c:v>
                  </c:pt>
                  <c:pt idx="4">
                    <c:v>2017/5/1</c:v>
                  </c:pt>
                  <c:pt idx="5">
                    <c:v>(空白)</c:v>
                  </c:pt>
                </c:lvl>
                <c:lvl>
                  <c:pt idx="0">
                    <c:v>游戏</c:v>
                  </c:pt>
                  <c:pt idx="5">
                    <c:v>(空白)</c:v>
                  </c:pt>
                </c:lvl>
              </c:multiLvlStrCache>
            </c:multiLvlStrRef>
          </c:cat>
          <c:val>
            <c:numRef>
              <c:f>产业月度趋势图!$B$2:$B$10</c:f>
              <c:numCache>
                <c:formatCode>0.00</c:formatCode>
                <c:ptCount val="6"/>
                <c:pt idx="0">
                  <c:v>1.05</c:v>
                </c:pt>
                <c:pt idx="1">
                  <c:v>2.5</c:v>
                </c:pt>
                <c:pt idx="2">
                  <c:v>2</c:v>
                </c:pt>
                <c:pt idx="3">
                  <c:v>1.1499999999999999</c:v>
                </c:pt>
                <c:pt idx="4">
                  <c:v>1.1499999999999999</c:v>
                </c:pt>
              </c:numCache>
            </c:numRef>
          </c:val>
        </c:ser>
        <c:dLbls>
          <c:showLegendKey val="0"/>
          <c:showVal val="0"/>
          <c:showCatName val="0"/>
          <c:showSerName val="0"/>
          <c:showPercent val="0"/>
          <c:showBubbleSize val="0"/>
        </c:dLbls>
        <c:gapWidth val="219"/>
        <c:overlap val="-27"/>
        <c:axId val="389697456"/>
        <c:axId val="389720416"/>
      </c:barChart>
      <c:catAx>
        <c:axId val="38969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720416"/>
        <c:crosses val="autoZero"/>
        <c:auto val="1"/>
        <c:lblAlgn val="ctr"/>
        <c:lblOffset val="100"/>
        <c:noMultiLvlLbl val="0"/>
      </c:catAx>
      <c:valAx>
        <c:axId val="38972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697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336174</xdr:colOff>
      <xdr:row>5</xdr:row>
      <xdr:rowOff>62753</xdr:rowOff>
    </xdr:from>
    <xdr:to>
      <xdr:col>19</xdr:col>
      <xdr:colOff>246530</xdr:colOff>
      <xdr:row>31</xdr:row>
      <xdr:rowOff>56030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00255622" refreshedDate="42892.602886689812" createdVersion="5" refreshedVersion="5" minRefreshableVersion="3" recordCount="14">
  <cacheSource type="worksheet">
    <worksheetSource ref="H1:P1048576" sheet="全部RM"/>
  </cacheSource>
  <cacheFields count="12">
    <cacheField name="需求类型*" numFmtId="0">
      <sharedItems containsBlank="1"/>
    </cacheField>
    <cacheField name="项目名称" numFmtId="0">
      <sharedItems containsBlank="1"/>
    </cacheField>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ount="2">
        <s v="正常需求"/>
        <m/>
      </sharedItems>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 name="交付版本号 " numFmtId="0">
      <sharedItems containsNonDate="0" containsString="0" containsBlank="1"/>
    </cacheField>
    <cacheField name="综合结论" numFmtId="0">
      <sharedItems containsBlank="1" count="3">
        <s v="02 接纳|纳入新版本路标规划"/>
        <m/>
        <s v="2 接纳|纳入新版本路标规划"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00255622" refreshedDate="42892.60351296296" createdVersion="5" refreshedVersion="5" minRefreshableVersion="3" recordCount="14">
  <cacheSource type="worksheet">
    <worksheetSource ref="I1:P1048576" sheet="全部RM"/>
  </cacheSource>
  <cacheFields count="8">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s v="功能 Function"/>
    <s v="All"/>
    <x v="0"/>
    <n v="0.3"/>
    <x v="0"/>
    <m/>
    <m/>
    <m/>
    <s v="2017-07-30"/>
    <x v="0"/>
    <m/>
    <x v="0"/>
  </r>
  <r>
    <s v="功能 Function"/>
    <m/>
    <x v="0"/>
    <n v="0.1"/>
    <x v="0"/>
    <m/>
    <m/>
    <m/>
    <m/>
    <x v="0"/>
    <m/>
    <x v="0"/>
  </r>
  <r>
    <s v="功能 Function"/>
    <m/>
    <x v="0"/>
    <n v="0.3"/>
    <x v="0"/>
    <m/>
    <m/>
    <m/>
    <m/>
    <x v="0"/>
    <m/>
    <x v="0"/>
  </r>
  <r>
    <s v="功能 Function"/>
    <m/>
    <x v="0"/>
    <n v="0.15"/>
    <x v="0"/>
    <m/>
    <m/>
    <m/>
    <m/>
    <x v="0"/>
    <m/>
    <x v="0"/>
  </r>
  <r>
    <s v="功能 Function"/>
    <m/>
    <x v="0"/>
    <n v="0.2"/>
    <x v="0"/>
    <m/>
    <m/>
    <m/>
    <m/>
    <x v="0"/>
    <m/>
    <x v="0"/>
  </r>
  <r>
    <s v="功能 Function"/>
    <m/>
    <x v="0"/>
    <n v="1.5"/>
    <x v="0"/>
    <m/>
    <m/>
    <m/>
    <m/>
    <x v="1"/>
    <m/>
    <x v="0"/>
  </r>
  <r>
    <s v="功能 Function"/>
    <m/>
    <x v="0"/>
    <n v="1"/>
    <x v="0"/>
    <m/>
    <m/>
    <m/>
    <m/>
    <x v="1"/>
    <m/>
    <x v="0"/>
  </r>
  <r>
    <s v="功能 Function"/>
    <m/>
    <x v="0"/>
    <n v="1"/>
    <x v="0"/>
    <m/>
    <m/>
    <m/>
    <m/>
    <x v="2"/>
    <m/>
    <x v="0"/>
  </r>
  <r>
    <s v="功能 Function"/>
    <m/>
    <x v="0"/>
    <n v="1"/>
    <x v="0"/>
    <m/>
    <m/>
    <m/>
    <m/>
    <x v="2"/>
    <m/>
    <x v="0"/>
  </r>
  <r>
    <s v="功能 Function"/>
    <m/>
    <x v="0"/>
    <n v="0.15"/>
    <x v="0"/>
    <m/>
    <m/>
    <m/>
    <m/>
    <x v="3"/>
    <m/>
    <x v="0"/>
  </r>
  <r>
    <s v="功能 Function"/>
    <m/>
    <x v="0"/>
    <n v="15"/>
    <x v="0"/>
    <m/>
    <m/>
    <m/>
    <m/>
    <x v="3"/>
    <m/>
    <x v="0"/>
  </r>
  <r>
    <s v="功能 Function"/>
    <m/>
    <x v="0"/>
    <n v="0.15"/>
    <x v="0"/>
    <m/>
    <m/>
    <m/>
    <m/>
    <x v="4"/>
    <m/>
    <x v="0"/>
  </r>
  <r>
    <s v="功能 Function"/>
    <m/>
    <x v="0"/>
    <n v="1"/>
    <x v="0"/>
    <m/>
    <m/>
    <m/>
    <m/>
    <x v="4"/>
    <m/>
    <x v="0"/>
  </r>
  <r>
    <m/>
    <m/>
    <x v="1"/>
    <m/>
    <x v="1"/>
    <m/>
    <m/>
    <m/>
    <m/>
    <x v="5"/>
    <m/>
    <x v="1"/>
  </r>
</pivotCacheRecords>
</file>

<file path=xl/pivotCache/pivotCacheRecords2.xml><?xml version="1.0" encoding="utf-8"?>
<pivotCacheRecords xmlns="http://schemas.openxmlformats.org/spreadsheetml/2006/main" xmlns:r="http://schemas.openxmlformats.org/officeDocument/2006/relationships" count="14">
  <r>
    <x v="0"/>
    <n v="0.3"/>
    <s v="正常需求"/>
    <m/>
    <m/>
    <m/>
    <s v="2017-07-30"/>
    <x v="0"/>
  </r>
  <r>
    <x v="0"/>
    <n v="0.1"/>
    <s v="正常需求"/>
    <m/>
    <m/>
    <m/>
    <m/>
    <x v="0"/>
  </r>
  <r>
    <x v="0"/>
    <n v="0.3"/>
    <s v="正常需求"/>
    <m/>
    <m/>
    <m/>
    <m/>
    <x v="0"/>
  </r>
  <r>
    <x v="0"/>
    <n v="0.15"/>
    <s v="正常需求"/>
    <m/>
    <m/>
    <m/>
    <m/>
    <x v="0"/>
  </r>
  <r>
    <x v="0"/>
    <n v="0.2"/>
    <s v="正常需求"/>
    <m/>
    <m/>
    <m/>
    <m/>
    <x v="0"/>
  </r>
  <r>
    <x v="0"/>
    <n v="1.5"/>
    <s v="正常需求"/>
    <m/>
    <m/>
    <m/>
    <m/>
    <x v="1"/>
  </r>
  <r>
    <x v="0"/>
    <n v="1"/>
    <s v="正常需求"/>
    <m/>
    <m/>
    <m/>
    <m/>
    <x v="1"/>
  </r>
  <r>
    <x v="0"/>
    <n v="1"/>
    <s v="正常需求"/>
    <m/>
    <m/>
    <m/>
    <m/>
    <x v="2"/>
  </r>
  <r>
    <x v="0"/>
    <n v="1"/>
    <s v="正常需求"/>
    <m/>
    <m/>
    <m/>
    <m/>
    <x v="2"/>
  </r>
  <r>
    <x v="0"/>
    <n v="0.15"/>
    <s v="正常需求"/>
    <m/>
    <m/>
    <m/>
    <m/>
    <x v="3"/>
  </r>
  <r>
    <x v="0"/>
    <n v="1"/>
    <s v="正常需求"/>
    <m/>
    <m/>
    <m/>
    <m/>
    <x v="3"/>
  </r>
  <r>
    <x v="0"/>
    <n v="0.15"/>
    <s v="正常需求"/>
    <m/>
    <m/>
    <m/>
    <m/>
    <x v="4"/>
  </r>
  <r>
    <x v="0"/>
    <n v="1"/>
    <s v="正常需求"/>
    <m/>
    <m/>
    <m/>
    <m/>
    <x v="4"/>
  </r>
  <r>
    <x v="1"/>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4" cacheId="2"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C7" firstHeaderRow="0" firstDataRow="1" firstDataCol="1" rowPageCount="3" colPageCount="1"/>
  <pivotFields count="12">
    <pivotField showAll="0"/>
    <pivotField showAll="0"/>
    <pivotField axis="axisRow" showAll="0">
      <items count="3">
        <item x="0"/>
        <item x="1"/>
        <item t="default"/>
      </items>
    </pivotField>
    <pivotField dataField="1" showAll="0"/>
    <pivotField axis="axisPage" showAll="0">
      <items count="3">
        <item x="0"/>
        <item x="1"/>
        <item t="default"/>
      </items>
    </pivotField>
    <pivotField showAll="0" defaultSubtotal="0"/>
    <pivotField showAll="0" defaultSubtotal="0"/>
    <pivotField showAll="0" defaultSubtotal="0"/>
    <pivotField showAll="0" defaultSubtotal="0"/>
    <pivotField axis="axisPage" showAll="0">
      <items count="7">
        <item x="0"/>
        <item x="1"/>
        <item x="2"/>
        <item x="3"/>
        <item x="4"/>
        <item x="5"/>
        <item t="default"/>
      </items>
    </pivotField>
    <pivotField showAll="0"/>
    <pivotField axis="axisPage" showAll="0">
      <items count="4">
        <item x="0"/>
        <item m="1" x="2"/>
        <item x="1"/>
        <item t="default"/>
      </items>
    </pivotField>
  </pivotFields>
  <rowFields count="1">
    <field x="2"/>
  </rowFields>
  <rowItems count="2">
    <i>
      <x/>
    </i>
    <i t="grand">
      <x/>
    </i>
  </rowItems>
  <colFields count="1">
    <field x="-2"/>
  </colFields>
  <colItems count="2">
    <i>
      <x/>
    </i>
    <i i="1">
      <x v="1"/>
    </i>
  </colItems>
  <pageFields count="3">
    <pageField fld="9" item="0" hier="-1"/>
    <pageField fld="11" hier="-1"/>
    <pageField fld="4" hier="-1"/>
  </pageFields>
  <dataFields count="2">
    <dataField name="总工作量(K)" fld="3" baseField="2" baseItem="0" numFmtId="2"/>
    <dataField name="功能点" fld="3" subtotal="count" baseField="2" baseItem="0" numFmtId="1"/>
  </dataFields>
  <formats count="2">
    <format dxfId="7">
      <pivotArea dataOnly="0" labelOnly="1" outline="0" fieldPosition="0">
        <references count="2">
          <reference field="9" count="1">
            <x v="0"/>
          </reference>
          <reference field="11" count="1" selected="0">
            <x v="0"/>
          </reference>
        </references>
      </pivotArea>
    </format>
    <format dxfId="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3"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B10" firstHeaderRow="1" firstDataRow="1" firstDataCol="1"/>
  <pivotFields count="8">
    <pivotField axis="axisRow" showAll="0">
      <items count="3">
        <item x="0"/>
        <item x="1"/>
        <item t="default"/>
      </items>
    </pivotField>
    <pivotField dataField="1" showAll="0"/>
    <pivotField showAll="0"/>
    <pivotField showAll="0" defaultSubtotal="0"/>
    <pivotField showAll="0" defaultSubtotal="0"/>
    <pivotField showAll="0" defaultSubtotal="0"/>
    <pivotField showAll="0" defaultSubtotal="0"/>
    <pivotField axis="axisRow" showAll="0">
      <items count="7">
        <item x="0"/>
        <item x="1"/>
        <item x="2"/>
        <item x="3"/>
        <item x="4"/>
        <item x="5"/>
        <item t="default"/>
      </items>
    </pivotField>
  </pivotFields>
  <rowFields count="2">
    <field x="0"/>
    <field x="7"/>
  </rowFields>
  <rowItems count="9">
    <i>
      <x/>
    </i>
    <i r="1">
      <x/>
    </i>
    <i r="1">
      <x v="1"/>
    </i>
    <i r="1">
      <x v="2"/>
    </i>
    <i r="1">
      <x v="3"/>
    </i>
    <i r="1">
      <x v="4"/>
    </i>
    <i>
      <x v="1"/>
    </i>
    <i r="1">
      <x v="5"/>
    </i>
    <i t="grand">
      <x/>
    </i>
  </rowItems>
  <colItems count="1">
    <i/>
  </colItems>
  <dataFields count="1">
    <dataField name="工作量(K)" fld="1" baseField="0" baseItem="0" numFmtId="2"/>
  </dataFields>
  <formats count="6">
    <format dxfId="5">
      <pivotArea outline="0" collapsedLevelsAreSubtotals="1" fieldPosition="0"/>
    </format>
    <format dxfId="4">
      <pivotArea dataOnly="0" labelOnly="1" outline="0" axis="axisValues"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fieldPosition="0">
        <references count="2">
          <reference field="0" count="1" selected="0">
            <x v="0"/>
          </reference>
          <reference field="7"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9"/>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8"/>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17"/>
  <sheetViews>
    <sheetView tabSelected="1" zoomScale="85" zoomScaleNormal="85" zoomScaleSheetLayoutView="115" workbookViewId="0">
      <pane ySplit="1" topLeftCell="A2" activePane="bottomLeft" state="frozen"/>
      <selection pane="bottomLeft" activeCell="P8" sqref="P8"/>
    </sheetView>
  </sheetViews>
  <sheetFormatPr defaultColWidth="8.77734375" defaultRowHeight="12.75"/>
  <cols>
    <col min="1" max="1" width="12.44140625" style="55" customWidth="1"/>
    <col min="2" max="2" width="28.6640625" style="28" customWidth="1"/>
    <col min="3" max="3" width="54" style="64" hidden="1" customWidth="1"/>
    <col min="4" max="4" width="13.6640625" style="56" hidden="1" customWidth="1"/>
    <col min="5" max="5" width="13.6640625" style="57" hidden="1" customWidth="1"/>
    <col min="6" max="6" width="13.44140625" style="57" hidden="1" customWidth="1"/>
    <col min="7" max="7" width="16" style="66" customWidth="1"/>
    <col min="8" max="8" width="13.21875" style="58" customWidth="1"/>
    <col min="9" max="9" width="17.44140625" style="49" customWidth="1"/>
    <col min="10" max="10" width="23.44140625" style="46" hidden="1" customWidth="1"/>
    <col min="11" max="11" width="14.88671875" style="28" hidden="1" customWidth="1"/>
    <col min="12" max="12" width="16.109375" style="59" hidden="1" customWidth="1"/>
    <col min="13" max="13" width="16" style="29" hidden="1" customWidth="1"/>
    <col min="14" max="14" width="20.6640625" style="29" hidden="1" customWidth="1"/>
    <col min="15" max="15" width="26.33203125" style="60" customWidth="1"/>
    <col min="16" max="16" width="27.33203125" style="61" customWidth="1"/>
    <col min="17" max="17" width="18.44140625" style="30" customWidth="1"/>
    <col min="18" max="18" width="15.44140625" style="62" customWidth="1"/>
    <col min="19" max="19" width="15.6640625" style="62" customWidth="1"/>
    <col min="20" max="20" width="22.5546875" style="62" customWidth="1"/>
    <col min="21" max="21" width="12.21875" style="62" customWidth="1"/>
    <col min="22" max="22" width="17.44140625" style="62" customWidth="1"/>
    <col min="23" max="23" width="8.6640625" style="62" customWidth="1"/>
    <col min="24" max="16384" width="8.77734375" style="63"/>
  </cols>
  <sheetData>
    <row r="1" spans="1:24" s="41" customFormat="1" ht="48" customHeight="1">
      <c r="A1" s="43" t="s">
        <v>74</v>
      </c>
      <c r="B1" s="43" t="s">
        <v>95</v>
      </c>
      <c r="C1" s="47" t="s">
        <v>96</v>
      </c>
      <c r="D1" s="43" t="s">
        <v>84</v>
      </c>
      <c r="E1" s="43" t="s">
        <v>89</v>
      </c>
      <c r="F1" s="43" t="s">
        <v>67</v>
      </c>
      <c r="G1" s="65" t="s">
        <v>97</v>
      </c>
      <c r="H1" s="43" t="s">
        <v>98</v>
      </c>
      <c r="I1" s="48" t="s">
        <v>141</v>
      </c>
      <c r="J1" s="43" t="s">
        <v>142</v>
      </c>
      <c r="K1" s="43" t="s">
        <v>91</v>
      </c>
      <c r="L1" s="43" t="s">
        <v>103</v>
      </c>
      <c r="M1" s="43" t="s">
        <v>104</v>
      </c>
      <c r="N1" s="43" t="s">
        <v>105</v>
      </c>
      <c r="O1" s="43" t="s">
        <v>143</v>
      </c>
      <c r="P1" s="43" t="s">
        <v>144</v>
      </c>
      <c r="Q1" s="43" t="s">
        <v>55</v>
      </c>
      <c r="R1" s="43" t="s">
        <v>99</v>
      </c>
      <c r="S1" s="43" t="s">
        <v>61</v>
      </c>
      <c r="T1" s="43" t="s">
        <v>100</v>
      </c>
      <c r="U1" s="43" t="s">
        <v>101</v>
      </c>
      <c r="V1" s="43" t="s">
        <v>102</v>
      </c>
      <c r="W1" s="43" t="s">
        <v>66</v>
      </c>
      <c r="X1" s="40"/>
    </row>
    <row r="2" spans="1:24" s="31" customFormat="1" ht="21.75" customHeight="1">
      <c r="A2" s="28"/>
      <c r="B2" s="51" t="s">
        <v>81</v>
      </c>
      <c r="C2" s="51" t="s">
        <v>82</v>
      </c>
      <c r="D2" s="51" t="s">
        <v>85</v>
      </c>
      <c r="E2" s="52">
        <v>42795</v>
      </c>
      <c r="F2" s="52"/>
      <c r="G2" s="51" t="s">
        <v>79</v>
      </c>
      <c r="H2" s="51" t="s">
        <v>86</v>
      </c>
      <c r="I2" s="53">
        <v>6</v>
      </c>
      <c r="J2" s="46" t="s">
        <v>132</v>
      </c>
      <c r="K2" s="28" t="s">
        <v>57</v>
      </c>
      <c r="L2" s="42"/>
      <c r="M2" s="29"/>
      <c r="N2" s="29" t="s">
        <v>131</v>
      </c>
      <c r="O2" s="44" t="s">
        <v>134</v>
      </c>
      <c r="P2" s="45" t="s">
        <v>135</v>
      </c>
      <c r="Q2" s="30" t="s">
        <v>154</v>
      </c>
      <c r="R2" s="30"/>
      <c r="S2" s="30"/>
      <c r="T2" s="30"/>
      <c r="U2" s="30"/>
      <c r="V2" s="30"/>
      <c r="W2" s="30"/>
    </row>
    <row r="3" spans="1:24" s="31" customFormat="1" ht="51">
      <c r="A3" s="28"/>
      <c r="B3" s="28" t="s">
        <v>87</v>
      </c>
      <c r="C3" s="28" t="s">
        <v>115</v>
      </c>
      <c r="D3" s="28" t="s">
        <v>88</v>
      </c>
      <c r="E3" s="29">
        <v>42826</v>
      </c>
      <c r="F3" s="29"/>
      <c r="G3" s="28" t="s">
        <v>79</v>
      </c>
      <c r="H3" s="28" t="s">
        <v>86</v>
      </c>
      <c r="I3" s="49">
        <v>2</v>
      </c>
      <c r="J3" s="46" t="s">
        <v>132</v>
      </c>
      <c r="K3" s="28" t="s">
        <v>57</v>
      </c>
      <c r="L3" s="42"/>
      <c r="M3" s="29"/>
      <c r="N3" s="29" t="s">
        <v>131</v>
      </c>
      <c r="O3" s="44"/>
      <c r="P3" s="45" t="s">
        <v>135</v>
      </c>
      <c r="Q3" s="30" t="s">
        <v>155</v>
      </c>
      <c r="R3" s="30"/>
      <c r="S3" s="30"/>
      <c r="T3" s="30"/>
      <c r="U3" s="30"/>
      <c r="V3" s="30"/>
      <c r="W3" s="30"/>
    </row>
    <row r="4" spans="1:24" s="31" customFormat="1" ht="25.5">
      <c r="A4" s="28"/>
      <c r="B4" s="51" t="s">
        <v>106</v>
      </c>
      <c r="C4" s="51" t="s">
        <v>116</v>
      </c>
      <c r="D4" s="51" t="s">
        <v>107</v>
      </c>
      <c r="E4" s="52">
        <v>42758</v>
      </c>
      <c r="F4" s="52"/>
      <c r="G4" s="51" t="s">
        <v>79</v>
      </c>
      <c r="H4" s="51" t="s">
        <v>86</v>
      </c>
      <c r="I4" s="53" t="s">
        <v>128</v>
      </c>
      <c r="J4" s="46" t="s">
        <v>132</v>
      </c>
      <c r="K4" s="28" t="s">
        <v>57</v>
      </c>
      <c r="L4" s="42"/>
      <c r="M4" s="29"/>
      <c r="N4" s="29" t="s">
        <v>131</v>
      </c>
      <c r="O4" s="44"/>
      <c r="P4" s="45" t="s">
        <v>135</v>
      </c>
      <c r="Q4" s="30" t="s">
        <v>156</v>
      </c>
      <c r="R4" s="30"/>
      <c r="S4" s="30"/>
      <c r="T4" s="30"/>
      <c r="U4" s="30"/>
      <c r="V4" s="30"/>
      <c r="W4" s="30"/>
    </row>
    <row r="5" spans="1:24" s="31" customFormat="1">
      <c r="A5" s="28"/>
      <c r="B5" s="51" t="s">
        <v>108</v>
      </c>
      <c r="C5" s="51" t="s">
        <v>117</v>
      </c>
      <c r="D5" s="51" t="s">
        <v>107</v>
      </c>
      <c r="E5" s="52">
        <v>42826</v>
      </c>
      <c r="F5" s="52"/>
      <c r="G5" s="51" t="s">
        <v>79</v>
      </c>
      <c r="H5" s="51" t="s">
        <v>86</v>
      </c>
      <c r="I5" s="53" t="s">
        <v>128</v>
      </c>
      <c r="J5" s="46" t="s">
        <v>132</v>
      </c>
      <c r="K5" s="28" t="s">
        <v>57</v>
      </c>
      <c r="L5" s="42"/>
      <c r="M5" s="29"/>
      <c r="N5" s="29" t="s">
        <v>131</v>
      </c>
      <c r="O5" s="44"/>
      <c r="P5" s="45" t="s">
        <v>135</v>
      </c>
      <c r="Q5" s="30" t="s">
        <v>157</v>
      </c>
      <c r="R5" s="30"/>
      <c r="S5" s="30"/>
      <c r="T5" s="54"/>
      <c r="U5" s="30"/>
      <c r="V5" s="30"/>
      <c r="W5" s="30"/>
    </row>
    <row r="6" spans="1:24" s="31" customFormat="1" ht="102">
      <c r="A6" s="28"/>
      <c r="B6" s="51" t="s">
        <v>109</v>
      </c>
      <c r="C6" s="51" t="s">
        <v>118</v>
      </c>
      <c r="D6" s="51" t="s">
        <v>107</v>
      </c>
      <c r="E6" s="52">
        <v>42836</v>
      </c>
      <c r="F6" s="52"/>
      <c r="G6" s="51" t="s">
        <v>79</v>
      </c>
      <c r="H6" s="51" t="s">
        <v>86</v>
      </c>
      <c r="I6" s="53" t="s">
        <v>129</v>
      </c>
      <c r="J6" s="46" t="s">
        <v>132</v>
      </c>
      <c r="K6" s="28" t="s">
        <v>57</v>
      </c>
      <c r="L6" s="42"/>
      <c r="M6" s="29"/>
      <c r="N6" s="29" t="s">
        <v>131</v>
      </c>
      <c r="O6" s="44"/>
      <c r="P6" s="45" t="s">
        <v>135</v>
      </c>
      <c r="Q6" s="30" t="s">
        <v>158</v>
      </c>
      <c r="R6" s="30"/>
      <c r="S6" s="30"/>
      <c r="T6" s="30"/>
      <c r="U6" s="30"/>
      <c r="V6" s="30"/>
      <c r="W6" s="30"/>
    </row>
    <row r="7" spans="1:24" s="31" customFormat="1" ht="105">
      <c r="A7" s="28"/>
      <c r="B7" s="28" t="s">
        <v>119</v>
      </c>
      <c r="C7" s="28" t="s">
        <v>90</v>
      </c>
      <c r="D7" s="28" t="s">
        <v>110</v>
      </c>
      <c r="E7" s="29">
        <v>42795</v>
      </c>
      <c r="F7" s="29"/>
      <c r="G7" s="28" t="s">
        <v>79</v>
      </c>
      <c r="H7" s="28" t="s">
        <v>86</v>
      </c>
      <c r="I7" s="49">
        <v>0</v>
      </c>
      <c r="J7" s="46" t="s">
        <v>133</v>
      </c>
      <c r="K7" s="28" t="s">
        <v>57</v>
      </c>
      <c r="L7" s="42"/>
      <c r="M7" s="29"/>
      <c r="N7" s="29" t="s">
        <v>131</v>
      </c>
      <c r="O7" s="44"/>
      <c r="P7" s="45"/>
      <c r="Q7" s="30"/>
      <c r="R7" s="30"/>
      <c r="S7" s="30"/>
      <c r="T7" s="67" t="s">
        <v>147</v>
      </c>
      <c r="U7" s="30"/>
      <c r="V7" s="30"/>
      <c r="W7" s="30"/>
    </row>
    <row r="8" spans="1:24" s="31" customFormat="1" ht="105">
      <c r="A8" s="28"/>
      <c r="B8" s="28" t="s">
        <v>120</v>
      </c>
      <c r="C8" s="28" t="s">
        <v>121</v>
      </c>
      <c r="D8" s="28" t="s">
        <v>122</v>
      </c>
      <c r="E8" s="29">
        <v>42892</v>
      </c>
      <c r="F8" s="29"/>
      <c r="G8" s="28" t="s">
        <v>79</v>
      </c>
      <c r="H8" s="28" t="s">
        <v>86</v>
      </c>
      <c r="I8" s="49">
        <v>2</v>
      </c>
      <c r="J8" s="46" t="s">
        <v>132</v>
      </c>
      <c r="K8" s="28" t="s">
        <v>57</v>
      </c>
      <c r="L8" s="42"/>
      <c r="M8" s="29"/>
      <c r="N8" s="29" t="s">
        <v>131</v>
      </c>
      <c r="O8" s="44"/>
      <c r="P8" s="61" t="s">
        <v>172</v>
      </c>
      <c r="Q8" s="30" t="s">
        <v>159</v>
      </c>
      <c r="R8" s="30"/>
      <c r="S8" s="30"/>
      <c r="T8" s="67" t="s">
        <v>147</v>
      </c>
      <c r="U8" s="30" t="s">
        <v>149</v>
      </c>
      <c r="V8" s="30"/>
      <c r="W8" s="30"/>
    </row>
    <row r="9" spans="1:24" s="31" customFormat="1" ht="105">
      <c r="A9" s="28"/>
      <c r="B9" s="28" t="s">
        <v>111</v>
      </c>
      <c r="C9" s="28" t="s">
        <v>123</v>
      </c>
      <c r="D9" s="28" t="s">
        <v>124</v>
      </c>
      <c r="E9" s="29">
        <v>42789</v>
      </c>
      <c r="F9" s="29"/>
      <c r="G9" s="28" t="s">
        <v>79</v>
      </c>
      <c r="H9" s="28" t="s">
        <v>86</v>
      </c>
      <c r="I9" s="49" t="s">
        <v>128</v>
      </c>
      <c r="J9" s="46" t="s">
        <v>132</v>
      </c>
      <c r="K9" s="28" t="s">
        <v>57</v>
      </c>
      <c r="L9" s="42"/>
      <c r="M9" s="29"/>
      <c r="N9" s="29" t="s">
        <v>131</v>
      </c>
      <c r="O9" s="44"/>
      <c r="P9" s="61" t="s">
        <v>172</v>
      </c>
      <c r="Q9" s="30" t="s">
        <v>160</v>
      </c>
      <c r="R9" s="30"/>
      <c r="S9" s="30"/>
      <c r="T9" s="67" t="s">
        <v>147</v>
      </c>
      <c r="U9" s="30" t="s">
        <v>152</v>
      </c>
      <c r="V9" s="30"/>
      <c r="W9" s="30"/>
    </row>
    <row r="10" spans="1:24" s="31" customFormat="1" ht="18" customHeight="1">
      <c r="A10" s="28"/>
      <c r="B10" s="28" t="s">
        <v>112</v>
      </c>
      <c r="C10" s="28" t="s">
        <v>125</v>
      </c>
      <c r="D10" s="28" t="s">
        <v>114</v>
      </c>
      <c r="E10" s="29">
        <v>42900</v>
      </c>
      <c r="F10" s="29"/>
      <c r="G10" s="28" t="s">
        <v>79</v>
      </c>
      <c r="H10" s="28" t="s">
        <v>86</v>
      </c>
      <c r="I10" s="49" t="s">
        <v>130</v>
      </c>
      <c r="J10" s="46" t="s">
        <v>132</v>
      </c>
      <c r="K10" s="28" t="s">
        <v>57</v>
      </c>
      <c r="L10" s="42"/>
      <c r="M10" s="29"/>
      <c r="N10" s="29" t="s">
        <v>131</v>
      </c>
      <c r="O10" s="44"/>
      <c r="P10" s="61" t="s">
        <v>172</v>
      </c>
      <c r="Q10" s="30" t="s">
        <v>159</v>
      </c>
      <c r="R10" s="30"/>
      <c r="S10" s="30"/>
      <c r="T10" s="67" t="s">
        <v>147</v>
      </c>
      <c r="U10" s="30" t="s">
        <v>150</v>
      </c>
      <c r="V10" s="30"/>
      <c r="W10" s="30"/>
    </row>
    <row r="11" spans="1:24" s="31" customFormat="1" ht="105">
      <c r="A11" s="28"/>
      <c r="B11" s="28" t="s">
        <v>113</v>
      </c>
      <c r="C11" s="28" t="s">
        <v>138</v>
      </c>
      <c r="D11" s="28" t="s">
        <v>114</v>
      </c>
      <c r="E11" s="29">
        <v>42900</v>
      </c>
      <c r="F11" s="29"/>
      <c r="G11" s="28" t="s">
        <v>79</v>
      </c>
      <c r="H11" s="28" t="s">
        <v>86</v>
      </c>
      <c r="I11" s="49">
        <v>8</v>
      </c>
      <c r="J11" s="46" t="s">
        <v>133</v>
      </c>
      <c r="K11" s="28" t="s">
        <v>57</v>
      </c>
      <c r="L11" s="42"/>
      <c r="M11" s="29"/>
      <c r="N11" s="29" t="s">
        <v>131</v>
      </c>
      <c r="O11" s="44"/>
      <c r="P11" s="61" t="s">
        <v>172</v>
      </c>
      <c r="Q11" s="30" t="s">
        <v>159</v>
      </c>
      <c r="R11" s="30"/>
      <c r="S11" s="30"/>
      <c r="T11" s="67" t="s">
        <v>147</v>
      </c>
      <c r="U11" s="30" t="s">
        <v>151</v>
      </c>
      <c r="V11" s="30"/>
      <c r="W11" s="30"/>
    </row>
    <row r="12" spans="1:24" s="31" customFormat="1" ht="105">
      <c r="A12" s="28"/>
      <c r="B12" s="28" t="s">
        <v>139</v>
      </c>
      <c r="C12" s="28" t="s">
        <v>126</v>
      </c>
      <c r="D12" s="28" t="s">
        <v>114</v>
      </c>
      <c r="E12" s="29">
        <v>42900</v>
      </c>
      <c r="F12" s="29"/>
      <c r="G12" s="28" t="s">
        <v>79</v>
      </c>
      <c r="H12" s="28" t="s">
        <v>86</v>
      </c>
      <c r="I12" s="49">
        <v>5</v>
      </c>
      <c r="J12" s="46" t="s">
        <v>132</v>
      </c>
      <c r="K12" s="28" t="s">
        <v>57</v>
      </c>
      <c r="L12" s="42"/>
      <c r="M12" s="29"/>
      <c r="N12" s="29" t="s">
        <v>131</v>
      </c>
      <c r="O12" s="44"/>
      <c r="P12" s="61" t="s">
        <v>172</v>
      </c>
      <c r="Q12" s="30" t="s">
        <v>161</v>
      </c>
      <c r="R12" s="30"/>
      <c r="S12" s="30"/>
      <c r="T12" s="67" t="s">
        <v>147</v>
      </c>
      <c r="U12" s="30" t="s">
        <v>153</v>
      </c>
      <c r="V12" s="30"/>
      <c r="W12" s="30"/>
    </row>
    <row r="13" spans="1:24" s="31" customFormat="1" ht="36" customHeight="1">
      <c r="A13" s="28"/>
      <c r="B13" s="28" t="s">
        <v>140</v>
      </c>
      <c r="C13" s="28" t="s">
        <v>127</v>
      </c>
      <c r="D13" s="28" t="s">
        <v>114</v>
      </c>
      <c r="E13" s="29">
        <v>42826</v>
      </c>
      <c r="F13" s="29"/>
      <c r="G13" s="28" t="s">
        <v>79</v>
      </c>
      <c r="H13" s="28" t="s">
        <v>86</v>
      </c>
      <c r="I13" s="49">
        <v>60</v>
      </c>
      <c r="J13" s="46" t="s">
        <v>132</v>
      </c>
      <c r="K13" s="28" t="s">
        <v>57</v>
      </c>
      <c r="L13" s="42"/>
      <c r="M13" s="29"/>
      <c r="N13" s="29" t="s">
        <v>131</v>
      </c>
      <c r="O13" s="44"/>
      <c r="P13" s="61" t="s">
        <v>172</v>
      </c>
      <c r="Q13" s="30" t="s">
        <v>171</v>
      </c>
      <c r="R13" s="30"/>
      <c r="S13" s="30"/>
      <c r="T13" s="67" t="s">
        <v>147</v>
      </c>
      <c r="U13" s="30" t="s">
        <v>148</v>
      </c>
      <c r="V13" s="30"/>
      <c r="W13" s="30"/>
    </row>
    <row r="14" spans="1:24" ht="33.6" customHeight="1">
      <c r="B14" s="50" t="s">
        <v>136</v>
      </c>
      <c r="C14" s="28" t="s">
        <v>137</v>
      </c>
      <c r="D14" s="56" t="s">
        <v>145</v>
      </c>
      <c r="E14" s="57">
        <v>42905</v>
      </c>
      <c r="G14" s="66" t="s">
        <v>79</v>
      </c>
      <c r="H14" s="58" t="s">
        <v>146</v>
      </c>
      <c r="I14" s="49">
        <v>7</v>
      </c>
      <c r="K14" s="28" t="s">
        <v>57</v>
      </c>
      <c r="N14" s="29" t="s">
        <v>131</v>
      </c>
      <c r="P14" s="61" t="s">
        <v>172</v>
      </c>
      <c r="Q14" s="30" t="s">
        <v>170</v>
      </c>
    </row>
    <row r="15" spans="1:24" ht="27" customHeight="1">
      <c r="B15" s="50" t="s">
        <v>162</v>
      </c>
      <c r="G15" s="66" t="s">
        <v>164</v>
      </c>
      <c r="H15" s="58" t="s">
        <v>163</v>
      </c>
      <c r="I15" s="49">
        <v>7</v>
      </c>
      <c r="P15" s="61" t="s">
        <v>172</v>
      </c>
      <c r="Q15" s="30" t="s">
        <v>169</v>
      </c>
    </row>
    <row r="16" spans="1:24" ht="62.25" customHeight="1">
      <c r="B16" s="50" t="s">
        <v>165</v>
      </c>
      <c r="C16" s="50"/>
      <c r="G16" s="66" t="s">
        <v>164</v>
      </c>
      <c r="H16" s="58" t="s">
        <v>163</v>
      </c>
      <c r="I16" s="49">
        <v>18</v>
      </c>
      <c r="P16" s="61" t="s">
        <v>172</v>
      </c>
      <c r="Q16" s="30" t="s">
        <v>168</v>
      </c>
    </row>
    <row r="17" spans="2:17">
      <c r="B17" s="28" t="s">
        <v>166</v>
      </c>
      <c r="G17" s="66" t="s">
        <v>164</v>
      </c>
      <c r="H17" s="58" t="s">
        <v>163</v>
      </c>
      <c r="I17" s="49">
        <v>3</v>
      </c>
      <c r="P17" s="61" t="s">
        <v>172</v>
      </c>
      <c r="Q17" s="30" t="s">
        <v>167</v>
      </c>
    </row>
  </sheetData>
  <phoneticPr fontId="2" type="noConversion"/>
  <dataValidations count="8">
    <dataValidation type="list" allowBlank="1" showInputMessage="1" showErrorMessage="1" sqref="R2:R13 O1:O1048576">
      <formula1>"是,否"</formula1>
    </dataValidation>
    <dataValidation type="list" allowBlank="1" showInputMessage="1" showErrorMessage="1" sqref="W1:W1048576">
      <formula1>"是，否"</formula1>
    </dataValidation>
    <dataValidation type="list" allowBlank="1" showInputMessage="1" showErrorMessage="1" sqref="K14:K1048576">
      <formula1>"正常需求,客户CR,SA问题,解决方案问题,内部安全整改,部件问题"</formula1>
    </dataValidation>
    <dataValidation type="list" allowBlank="1" showInputMessage="1" showErrorMessage="1" sqref="K2:K13">
      <formula1>"正常需求,客户CR,SA问题,解决方案问题,安全需求/问题,部件问题,内部安全整改"</formula1>
    </dataValidation>
    <dataValidation type="list" allowBlank="1" showInputMessage="1" showErrorMessage="1" sqref="N1:N1048576">
      <formula1>"是,否,免"</formula1>
    </dataValidation>
    <dataValidation type="list" allowBlank="1" showInputMessage="1" showErrorMessage="1" sqref="J1:J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G1:G13">
      <formula1>需求处理人</formula1>
    </dataValidation>
    <dataValidation type="list" allowBlank="1" showInputMessage="1" showErrorMessage="1" sqref="H1:H1048576">
      <formula1>"功能 Function,内部优化,环境搭建"</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8"/>
  <sheetViews>
    <sheetView workbookViewId="0">
      <selection activeCell="A22" sqref="A22"/>
    </sheetView>
  </sheetViews>
  <sheetFormatPr defaultRowHeight="15"/>
  <cols>
    <col min="1" max="1" width="27.33203125" customWidth="1"/>
    <col min="2" max="2" width="9.44140625" style="6" customWidth="1"/>
    <col min="3" max="3" width="5.6640625" style="6" customWidth="1"/>
    <col min="214" max="950" width="67.6640625" bestFit="1" customWidth="1"/>
    <col min="951" max="951" width="4.77734375" customWidth="1"/>
  </cols>
  <sheetData>
    <row r="1" spans="1:3">
      <c r="A1" s="3" t="s">
        <v>62</v>
      </c>
      <c r="B1" s="34">
        <v>42736</v>
      </c>
      <c r="C1"/>
    </row>
    <row r="2" spans="1:3">
      <c r="A2" s="3" t="s">
        <v>56</v>
      </c>
      <c r="B2" s="18" t="s">
        <v>64</v>
      </c>
      <c r="C2"/>
    </row>
    <row r="3" spans="1:3">
      <c r="A3" s="3" t="s">
        <v>91</v>
      </c>
      <c r="B3" s="18" t="s">
        <v>64</v>
      </c>
      <c r="C3"/>
    </row>
    <row r="4" spans="1:3">
      <c r="B4"/>
      <c r="C4"/>
    </row>
    <row r="5" spans="1:3">
      <c r="A5" s="3" t="s">
        <v>65</v>
      </c>
      <c r="B5" s="18" t="s">
        <v>92</v>
      </c>
      <c r="C5" s="18" t="s">
        <v>93</v>
      </c>
    </row>
    <row r="6" spans="1:3">
      <c r="A6" s="4" t="s">
        <v>77</v>
      </c>
      <c r="B6" s="33">
        <v>1.05</v>
      </c>
      <c r="C6" s="36">
        <v>5</v>
      </c>
    </row>
    <row r="7" spans="1:3">
      <c r="A7" s="4" t="s">
        <v>1</v>
      </c>
      <c r="B7" s="33">
        <v>1.05</v>
      </c>
      <c r="C7" s="36">
        <v>5</v>
      </c>
    </row>
    <row r="8" spans="1:3">
      <c r="B8"/>
      <c r="C8"/>
    </row>
    <row r="9" spans="1:3">
      <c r="B9"/>
      <c r="C9"/>
    </row>
    <row r="10" spans="1:3">
      <c r="B10"/>
      <c r="C10"/>
    </row>
    <row r="11" spans="1:3">
      <c r="B11"/>
      <c r="C11"/>
    </row>
    <row r="12" spans="1:3">
      <c r="B12"/>
      <c r="C12"/>
    </row>
    <row r="13" spans="1:3">
      <c r="B13"/>
      <c r="C13"/>
    </row>
    <row r="14" spans="1:3">
      <c r="B14"/>
      <c r="C14"/>
    </row>
    <row r="15" spans="1:3">
      <c r="B15"/>
      <c r="C15"/>
    </row>
    <row r="16" spans="1:3">
      <c r="B16"/>
      <c r="C16"/>
    </row>
    <row r="17" spans="2:3">
      <c r="B17"/>
      <c r="C17"/>
    </row>
    <row r="18" spans="2:3">
      <c r="B18"/>
      <c r="C18"/>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10"/>
  <sheetViews>
    <sheetView zoomScale="85" zoomScaleNormal="85" workbookViewId="0">
      <selection activeCell="B24" sqref="B24"/>
    </sheetView>
  </sheetViews>
  <sheetFormatPr defaultRowHeight="15"/>
  <cols>
    <col min="1" max="1" width="11" style="39"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2">
      <c r="A1" s="37" t="s">
        <v>65</v>
      </c>
      <c r="B1" s="33" t="s">
        <v>94</v>
      </c>
    </row>
    <row r="2" spans="1:2">
      <c r="A2" s="35" t="s">
        <v>77</v>
      </c>
      <c r="B2" s="33">
        <v>7.85</v>
      </c>
    </row>
    <row r="3" spans="1:2">
      <c r="A3" s="38">
        <v>42736</v>
      </c>
      <c r="B3" s="33">
        <v>1.05</v>
      </c>
    </row>
    <row r="4" spans="1:2">
      <c r="A4" s="38">
        <v>42767</v>
      </c>
      <c r="B4" s="33">
        <v>2.5</v>
      </c>
    </row>
    <row r="5" spans="1:2">
      <c r="A5" s="38">
        <v>42795</v>
      </c>
      <c r="B5" s="33">
        <v>2</v>
      </c>
    </row>
    <row r="6" spans="1:2">
      <c r="A6" s="38">
        <v>42826</v>
      </c>
      <c r="B6" s="33">
        <v>1.1499999999999999</v>
      </c>
    </row>
    <row r="7" spans="1:2">
      <c r="A7" s="38">
        <v>42856</v>
      </c>
      <c r="B7" s="33">
        <v>1.1499999999999999</v>
      </c>
    </row>
    <row r="8" spans="1:2">
      <c r="A8" s="35" t="s">
        <v>63</v>
      </c>
    </row>
    <row r="9" spans="1:2">
      <c r="A9" s="32" t="s">
        <v>63</v>
      </c>
    </row>
    <row r="10" spans="1:2">
      <c r="A10" s="35" t="s">
        <v>1</v>
      </c>
      <c r="B10" s="33">
        <v>7.85</v>
      </c>
    </row>
  </sheetData>
  <phoneticPr fontId="2" type="noConversion"/>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D21" sqref="D21"/>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68" t="s">
        <v>75</v>
      </c>
      <c r="B1" s="69" t="s">
        <v>68</v>
      </c>
      <c r="C1" s="70" t="s">
        <v>76</v>
      </c>
      <c r="D1" s="70"/>
      <c r="E1" s="70"/>
      <c r="F1" s="70"/>
    </row>
    <row r="2" spans="1:8" s="6" customFormat="1" ht="33">
      <c r="A2" s="68"/>
      <c r="B2" s="69"/>
      <c r="C2" s="26" t="s">
        <v>69</v>
      </c>
      <c r="D2" s="26" t="s">
        <v>70</v>
      </c>
      <c r="E2" s="26" t="s">
        <v>71</v>
      </c>
      <c r="F2" s="26" t="s">
        <v>72</v>
      </c>
      <c r="H2" s="9"/>
    </row>
    <row r="3" spans="1:8" s="6" customFormat="1" ht="18.75" customHeight="1">
      <c r="A3" s="27" t="s">
        <v>77</v>
      </c>
      <c r="B3" s="10">
        <v>45</v>
      </c>
      <c r="C3" s="11">
        <v>2</v>
      </c>
      <c r="D3" s="11">
        <v>10</v>
      </c>
      <c r="E3" s="11">
        <f>(C3+D3)</f>
        <v>12</v>
      </c>
      <c r="F3" s="12">
        <f>PRODUCT(B3,E3,22)/1000</f>
        <v>11.88</v>
      </c>
    </row>
    <row r="4" spans="1:8" s="6" customFormat="1" ht="18.75" customHeight="1">
      <c r="A4" s="27" t="s">
        <v>78</v>
      </c>
      <c r="B4" s="10">
        <v>45</v>
      </c>
      <c r="C4" s="11">
        <v>2</v>
      </c>
      <c r="D4" s="11">
        <v>3</v>
      </c>
      <c r="E4" s="11">
        <f>(C4+D4)</f>
        <v>5</v>
      </c>
      <c r="F4" s="12">
        <f>PRODUCT(B4,E4,22)/1000</f>
        <v>4.95</v>
      </c>
    </row>
    <row r="5" spans="1:8" s="6" customFormat="1" ht="15">
      <c r="A5" s="13" t="s">
        <v>73</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58</v>
      </c>
      <c r="B1" s="24" t="s">
        <v>59</v>
      </c>
      <c r="C1" s="25" t="s">
        <v>60</v>
      </c>
    </row>
    <row r="2" spans="1:3">
      <c r="A2" s="19" t="s">
        <v>83</v>
      </c>
      <c r="B2" s="19" t="s">
        <v>77</v>
      </c>
      <c r="C2" s="21" t="s">
        <v>79</v>
      </c>
    </row>
    <row r="3" spans="1:3">
      <c r="A3" s="19"/>
      <c r="B3" s="19" t="s">
        <v>78</v>
      </c>
      <c r="C3" s="21" t="s">
        <v>80</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Sheet2</vt:lpstr>
      <vt:lpstr>全部RM</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Caojiesheng (Jason)</cp:lastModifiedBy>
  <cp:lastPrinted>2007-03-23T05:43:02Z</cp:lastPrinted>
  <dcterms:created xsi:type="dcterms:W3CDTF">2003-11-11T03:59:45Z</dcterms:created>
  <dcterms:modified xsi:type="dcterms:W3CDTF">2017-06-24T01:23:24Z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1498264879</vt:lpwstr>
  </property>
</Properties>
</file>