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D:\SVN\eData-CBG\Team\06. 项目管理\01. 需求管理\需求汇总\2017\"/>
    </mc:Choice>
  </mc:AlternateContent>
  <bookViews>
    <workbookView xWindow="0" yWindow="-216" windowWidth="11508" windowHeight="4668" tabRatio="925" firstSheet="1" activeTab="1"/>
  </bookViews>
  <sheets>
    <sheet name="Sheet2" sheetId="160" state="hidden" r:id="rId1"/>
    <sheet name="全部RM" sheetId="165" r:id="rId2"/>
    <sheet name="RM统计" sheetId="170" r:id="rId3"/>
    <sheet name="产业月度趋势图" sheetId="174" r:id="rId4"/>
    <sheet name="吞吐量" sheetId="156" r:id="rId5"/>
    <sheet name="常量值" sheetId="190" r:id="rId6"/>
  </sheets>
  <externalReferences>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xlnm._FilterDatabase" localSheetId="1" hidden="1">全部RM!$A$1:$Z$21</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全部RM!$A$1:$T$1</definedName>
    <definedName name="s">[9]常量值!$A$2:$A$30</definedName>
    <definedName name="sss">[9]常量值!$C$2:$C$35</definedName>
    <definedName name="W1048377U4890">全部RM!#REF!</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需求处理人">常量值!$C$2:$C$24</definedName>
  </definedNames>
  <calcPr calcId="152511"/>
  <pivotCaches>
    <pivotCache cacheId="28" r:id="rId18"/>
    <pivotCache cacheId="29" r:id="rId19"/>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<sst xmlns="http://schemas.openxmlformats.org/spreadsheetml/2006/main" count="312" uniqueCount="171">
  <si>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</si>
  <si>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</si>
  <si>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</si>
  <si>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</si>
  <si>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</si>
  <si>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</si>
  <si>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</si>
  <si>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</si>
  <si>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</si>
  <si>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</si>
  <si>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</si>
  <si>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</si>
  <si>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</si>
  <si>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</si>
  <si>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</si>
  <si>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</si>
  <si>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</si>
  <si>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</si>
  <si>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</si>
  <si>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</si>
  <si>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</si>
  <si>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</si>
  <si>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</si>
  <si>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</si>
  <si>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</si>
  <si>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</si>
  <si>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</si>
  <si>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</si>
  <si>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</si>
  <si>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</si>
  <si>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</si>
  <si>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</si>
  <si>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</si>
  <si>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</si>
  <si>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</si>
  <si>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</si>
  <si>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</si>
  <si>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</si>
  <si>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</si>
  <si>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</si>
  <si>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</si>
  <si>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</si>
  <si>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</si>
  <si>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</si>
  <si>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</si>
  <si>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</si>
  <si>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</si>
  <si>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</si>
  <si>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</si>
  <si>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</si>
  <si>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</si>
  <si>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</si>
  <si>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</si>
  <si>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</si>
  <si>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</si>
  <si>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</si>
  <si>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综合结论</t>
  </si>
  <si>
    <t>正常需求</t>
  </si>
  <si>
    <t>项目名称</t>
    <phoneticPr fontId="2" type="noConversion"/>
  </si>
  <si>
    <t>部件</t>
    <phoneticPr fontId="2" type="noConversion"/>
  </si>
  <si>
    <t>需求处理人</t>
    <phoneticPr fontId="2" type="noConversion"/>
  </si>
  <si>
    <t>决策点</t>
    <phoneticPr fontId="2" type="noConversion"/>
  </si>
  <si>
    <t>月度版本N（交付时间为 N+1月底 ）</t>
  </si>
  <si>
    <t>(空白)</t>
  </si>
  <si>
    <t>(全部)</t>
  </si>
  <si>
    <t>行标签</t>
  </si>
  <si>
    <t>是否CR</t>
  </si>
  <si>
    <t>期望交付时间</t>
    <phoneticPr fontId="2" type="noConversion"/>
  </si>
  <si>
    <r>
      <t>E2E</t>
    </r>
    <r>
      <rPr>
        <b/>
        <sz val="11"/>
        <color rgb="FF000000"/>
        <rFont val="Cambria"/>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</si>
  <si>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</si>
  <si>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</si>
  <si>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</si>
  <si>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</si>
  <si>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</si>
  <si>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</si>
  <si>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</si>
  <si>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</si>
  <si>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</si>
  <si>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</si>
  <si>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</si>
  <si>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</si>
  <si>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</si>
  <si>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</si>
  <si>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</si>
  <si>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</si>
  <si>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</si>
  <si>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</si>
  <si>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</si>
  <si>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杨涛 00210370</t>
  </si>
  <si>
    <t>需求提交时间</t>
  </si>
  <si>
    <t>渠道子渠道活动分析-阶段2，详细需求程卫明</t>
  </si>
  <si>
    <t>需求类型（细化）</t>
  </si>
  <si>
    <t>总工作量(K)</t>
  </si>
  <si>
    <t>功能点</t>
  </si>
  <si>
    <t>工作量(K)</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</si>
  <si>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</si>
  <si>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</si>
  <si>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</si>
  <si>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</si>
  <si>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</si>
  <si>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</si>
  <si>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</si>
  <si>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</si>
  <si>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t>数据源具备时间</t>
  </si>
  <si>
    <t>数据接口确定时间</t>
  </si>
  <si>
    <t>One Data迁移满足度</t>
  </si>
  <si>
    <t>后台--&gt;3月份与游戏关联需求-Charging话单格式变更</t>
  </si>
  <si>
    <t>李文要 00266388</t>
  </si>
  <si>
    <t>客户端消息栏push</t>
  </si>
  <si>
    <t>收租机制优化需求涉及易数对支付话单新增rentTime字段与使用</t>
  </si>
  <si>
    <t>时秋兰 00343530</t>
  </si>
  <si>
    <t>收入分析增加"合作渠道流水"、订阅存量流水统计项</t>
  </si>
  <si>
    <t>汇率精度提高</t>
  </si>
  <si>
    <t>会员推广增加本币数据显示</t>
  </si>
  <si>
    <t>涉及页面：EDC-&gt;运营趋势
4月底完成添加：从当前时间起48小时内数据为过程数据，会涉及变化，仅供参考(The data during last 48 hours is still in process, it is just for reference only, please notice.)</t>
  </si>
  <si>
    <t>Charging话单格式变更-与游戏关联需求</t>
  </si>
  <si>
    <t>客户端消息栏push功能要求：话单新增入库字段IMEI</t>
  </si>
  <si>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</si>
  <si>
    <t>渠道子渠道活动分析-阶段2</t>
  </si>
  <si>
    <t>科威特各项目的时区变更</t>
  </si>
  <si>
    <t>修改项目配置信息：科威特VIVA(1003842),科威特Ooredoo(1004165), 科威特ZAIN(2000102)时区信息由UTC +4 修改为UTC +3，已结算数据不需要重新统计。</t>
  </si>
  <si>
    <t>李强 00176134</t>
  </si>
  <si>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</si>
  <si>
    <t>田俊杰 twx345064</t>
  </si>
  <si>
    <t>【问题：汇率精度】
伊拉克项目反映报表中的换算美元/人民币的汇率存在较大误差。
经查，报表系统在入库时，获取对应inTouch汇率源（源数据格式为小数点后18位）后仅保留小数点后6位。而本币对美元 在万分之1下的，相关的国家包括伊朗和印尼。
报表采用的小数点后6位，会在伊朗项目产生最大3.3%的误差，印尼项目1.5%的收入误差。
【诉求】
提高汇率换算精度，要求在Portal统计、结算数据的计算中，要求完全采用inTouch汇率源的数据作为汇率。
20170531：韩正晶：目前的代码实现是不支持自动配置扩展到18位精度的。如果提高汇率精度要落需求版本</t>
  </si>
  <si>
    <t>原功能因性能屏蔽，需要重新验证性能后提供</t>
  </si>
  <si>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</si>
  <si>
    <t>6</t>
  </si>
  <si>
    <t>4</t>
  </si>
  <si>
    <t>2</t>
  </si>
  <si>
    <t>免</t>
  </si>
  <si>
    <t>02 接纳|组织方案设计</t>
  </si>
  <si>
    <t>03 退回|需求不清晰，需要提交人补充</t>
  </si>
  <si>
    <t>是</t>
  </si>
  <si>
    <t>201706H1</t>
  </si>
  <si>
    <t>2017H2</t>
  </si>
  <si>
    <t>DM模块监控</t>
  </si>
  <si>
    <t>使用Monitor对DM进行监控，要求DM在进程丢失和僵死时，自动拉起，避免用户访问错误</t>
  </si>
  <si>
    <r>
      <rPr>
        <sz val="10"/>
        <color theme="1"/>
        <rFont val="宋体"/>
        <family val="3"/>
        <charset val="134"/>
      </rPr>
      <t>渠道会员推广活动分析增加本币指标</t>
    </r>
    <r>
      <rPr>
        <sz val="10"/>
        <color theme="1"/>
        <rFont val="Arial"/>
        <family val="2"/>
      </rPr>
      <t xml:space="preserve"> "</t>
    </r>
    <r>
      <rPr>
        <sz val="10"/>
        <color theme="1"/>
        <rFont val="宋体"/>
        <family val="3"/>
        <charset val="134"/>
      </rPr>
      <t>涉及页面：</t>
    </r>
    <r>
      <rPr>
        <sz val="10"/>
        <color theme="1"/>
        <rFont val="Arial"/>
        <family val="2"/>
      </rPr>
      <t>EDP-&gt;</t>
    </r>
    <r>
      <rPr>
        <sz val="10"/>
        <color theme="1"/>
        <rFont val="宋体"/>
        <family val="3"/>
        <charset val="134"/>
      </rPr>
      <t>渠道会员推广活动分析
新增本币流水：会员总流水（本币）、合作渠道流水（本币）、订阅流水（本币）</t>
    </r>
    <r>
      <rPr>
        <sz val="10"/>
        <color theme="1"/>
        <rFont val="Arial"/>
        <family val="2"/>
      </rPr>
      <t>"</t>
    </r>
  </si>
  <si>
    <r>
      <rPr>
        <sz val="10"/>
        <color theme="1"/>
        <rFont val="宋体"/>
        <family val="3"/>
        <charset val="134"/>
      </rPr>
      <t>会员推广活动分析中，详情</t>
    </r>
    <r>
      <rPr>
        <sz val="10"/>
        <color theme="1"/>
        <rFont val="Arial"/>
        <family val="2"/>
      </rPr>
      <t>31</t>
    </r>
    <r>
      <rPr>
        <sz val="10"/>
        <color theme="1"/>
        <rFont val="宋体"/>
        <family val="3"/>
        <charset val="134"/>
      </rPr>
      <t>天批量导出恢复</t>
    </r>
  </si>
  <si>
    <r>
      <t>EDC-&gt;</t>
    </r>
    <r>
      <rPr>
        <sz val="10"/>
        <color theme="1"/>
        <rFont val="宋体"/>
        <family val="3"/>
        <charset val="134"/>
      </rPr>
      <t>运营趋势改版</t>
    </r>
    <r>
      <rPr>
        <sz val="10"/>
        <color theme="1"/>
        <rFont val="Arial"/>
        <family val="2"/>
      </rPr>
      <t>&amp;</t>
    </r>
    <r>
      <rPr>
        <sz val="10"/>
        <color theme="1"/>
        <rFont val="宋体"/>
        <family val="3"/>
        <charset val="134"/>
      </rPr>
      <t>交互优化</t>
    </r>
  </si>
  <si>
    <r>
      <rPr>
        <b/>
        <sz val="12"/>
        <rFont val="宋体"/>
        <family val="3"/>
        <charset val="134"/>
      </rPr>
      <t>工作量</t>
    </r>
    <r>
      <rPr>
        <b/>
        <sz val="12"/>
        <rFont val="Arial"/>
        <family val="2"/>
      </rPr>
      <t>(</t>
    </r>
    <r>
      <rPr>
        <b/>
        <sz val="12"/>
        <rFont val="宋体"/>
        <family val="3"/>
        <charset val="134"/>
      </rPr>
      <t>人天</t>
    </r>
    <r>
      <rPr>
        <b/>
        <sz val="12"/>
        <rFont val="Arial"/>
        <family val="2"/>
      </rPr>
      <t>)</t>
    </r>
    <r>
      <rPr>
        <b/>
        <sz val="12"/>
        <color rgb="FFFF0000"/>
        <rFont val="Arial"/>
        <family val="2"/>
      </rPr>
      <t>*</t>
    </r>
  </si>
  <si>
    <r>
      <t>RAT</t>
    </r>
    <r>
      <rPr>
        <b/>
        <sz val="12"/>
        <rFont val="宋体"/>
        <family val="3"/>
        <charset val="134"/>
      </rPr>
      <t>结论</t>
    </r>
  </si>
  <si>
    <r>
      <rPr>
        <b/>
        <sz val="12"/>
        <rFont val="宋体"/>
        <family val="3"/>
        <charset val="134"/>
      </rPr>
      <t>是否满足开发入口条件</t>
    </r>
    <r>
      <rPr>
        <b/>
        <sz val="12"/>
        <color rgb="FF0000FF"/>
        <rFont val="Arial"/>
        <family val="2"/>
      </rPr>
      <t xml:space="preserve"> </t>
    </r>
  </si>
  <si>
    <r>
      <t>AHB</t>
    </r>
    <r>
      <rPr>
        <b/>
        <sz val="12"/>
        <rFont val="宋体"/>
        <family val="3"/>
        <charset val="134"/>
      </rPr>
      <t>计划安排</t>
    </r>
  </si>
  <si>
    <t>韩正晶 00275561</t>
  </si>
  <si>
    <t>内部优化</t>
  </si>
  <si>
    <t>https://dggsvn06-ex:3690/svn/AS_WAD_SVN/trunk/eData-CBG/DOC/游戏产业报表/Trunk/02.需求与方案管理/2.3.部件规格/201706/游戏产业报表设计规格说明书.doc</t>
  </si>
  <si>
    <t>4.1</t>
  </si>
  <si>
    <t>4.2</t>
  </si>
  <si>
    <t>4.3</t>
  </si>
  <si>
    <t>4.4</t>
  </si>
  <si>
    <t>4.5</t>
  </si>
  <si>
    <t>4.6</t>
  </si>
  <si>
    <t>联合营销改版与新增统计项</t>
  </si>
  <si>
    <t xml:space="preserve">涉及页面：EDC-&gt;联合营销
采用inTouch统一风格
指标内容同 渠道子渠道活动分析-阶段1和阶段2的指标
CP账号只能查询CP相关数据，非CP账号只能查询其授权项目的相关数据
</t>
  </si>
  <si>
    <t>李金玲 00285350</t>
  </si>
  <si>
    <t>精品包改版</t>
  </si>
  <si>
    <t>涉及页面：EDC-&gt;精品包
采用inTouch统一风格
CP账号只能查询CP相关数据，非CP账号只能查询其授权项目的相关数据</t>
  </si>
  <si>
    <r>
      <rPr>
        <sz val="10"/>
        <color theme="1"/>
        <rFont val="宋体"/>
        <family val="3"/>
        <charset val="134"/>
      </rPr>
      <t>用户活跃表能区分不同类型终端（</t>
    </r>
    <r>
      <rPr>
        <sz val="10"/>
        <color theme="1"/>
        <rFont val="Arial"/>
        <family val="2"/>
      </rPr>
      <t>Android/iOS/WebTV)</t>
    </r>
    <phoneticPr fontId="2" type="noConversion"/>
  </si>
  <si>
    <t>范建波</t>
    <phoneticPr fontId="2" type="noConversion"/>
  </si>
  <si>
    <r>
      <rPr>
        <sz val="10"/>
        <color theme="1"/>
        <rFont val="宋体"/>
        <family val="3"/>
        <charset val="134"/>
      </rPr>
      <t>【区分不同客户端的需求】订购用户能区分不同客户端的数据（</t>
    </r>
    <r>
      <rPr>
        <sz val="10"/>
        <color theme="1"/>
        <rFont val="Arial"/>
        <family val="2"/>
      </rPr>
      <t>Android/iOS/WebTV)</t>
    </r>
    <phoneticPr fontId="2" type="noConversion"/>
  </si>
  <si>
    <t>22</t>
    <phoneticPr fontId="2" type="noConversion"/>
  </si>
  <si>
    <t>OK</t>
    <phoneticPr fontId="2" type="noConversion"/>
  </si>
  <si>
    <t>马开峰 00341915</t>
  </si>
  <si>
    <r>
      <t>【区分不同客户端的需求】订购用户能区分不同客户端的数据（</t>
    </r>
    <r>
      <rPr>
        <sz val="10"/>
        <color theme="1"/>
        <rFont val="Arial"/>
        <family val="2"/>
      </rPr>
      <t xml:space="preserve">Android/iOS/WebTV)
</t>
    </r>
    <r>
      <rPr>
        <sz val="10"/>
        <color theme="1"/>
        <rFont val="宋体"/>
        <family val="3"/>
        <charset val="134"/>
      </rPr>
      <t>说明：需要统计应用内订购的数量，报表包括日、周、月报表，能区分不同的客户端。</t>
    </r>
  </si>
  <si>
    <r>
      <t>需求：统计报表能区分不同的客户端的活跃用户数、注册用户活跃数。</t>
    </r>
    <r>
      <rPr>
        <sz val="10"/>
        <color theme="1"/>
        <rFont val="Arial"/>
        <family val="2"/>
      </rPr>
      <t xml:space="preserve"> </t>
    </r>
    <r>
      <rPr>
        <sz val="10"/>
        <color theme="1"/>
        <rFont val="宋体"/>
        <family val="3"/>
        <charset val="134"/>
      </rPr>
      <t>（分别统计呈现</t>
    </r>
    <r>
      <rPr>
        <sz val="10"/>
        <color theme="1"/>
        <rFont val="Arial"/>
        <family val="2"/>
      </rPr>
      <t>WEBTV</t>
    </r>
    <r>
      <rPr>
        <sz val="10"/>
        <color theme="1"/>
        <rFont val="宋体"/>
        <family val="3"/>
        <charset val="134"/>
      </rPr>
      <t>的日活数据，</t>
    </r>
    <r>
      <rPr>
        <sz val="10"/>
        <color theme="1"/>
        <rFont val="Arial"/>
        <family val="2"/>
      </rPr>
      <t>APP</t>
    </r>
    <r>
      <rPr>
        <sz val="10"/>
        <color theme="1"/>
        <rFont val="宋体"/>
        <family val="3"/>
        <charset val="134"/>
      </rPr>
      <t>的日活数据；以及同时用了</t>
    </r>
    <r>
      <rPr>
        <sz val="10"/>
        <color theme="1"/>
        <rFont val="Arial"/>
        <family val="2"/>
      </rPr>
      <t>WEBTV</t>
    </r>
    <r>
      <rPr>
        <sz val="10"/>
        <color theme="1"/>
        <rFont val="宋体"/>
        <family val="3"/>
        <charset val="134"/>
      </rPr>
      <t>和</t>
    </r>
    <r>
      <rPr>
        <sz val="10"/>
        <color theme="1"/>
        <rFont val="Arial"/>
        <family val="2"/>
      </rPr>
      <t>APP</t>
    </r>
    <r>
      <rPr>
        <sz val="10"/>
        <color theme="1"/>
        <rFont val="宋体"/>
        <family val="3"/>
        <charset val="134"/>
      </rPr>
      <t>的日活用户数）</t>
    </r>
  </si>
  <si>
    <t>OK</t>
  </si>
  <si>
    <t>优先使用CBG类似方案</t>
  </si>
  <si>
    <t>AHB前重新审视方案</t>
  </si>
  <si>
    <t>RAT上会时间</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</si>
</sst>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00_-;\-* #,##0.00_-;_-* &quot;-&quot;??_-;_-@_-"/>
    <numFmt numFmtId="165" formatCode="0.00;[Red]0.00"/>
    <numFmt numFmtId="166" formatCode="[$-409]mmm/yy;@"/>
    <numFmt numFmtId="167" formatCode="0.00_);[Red]\(0.00\)"/>
    <numFmt numFmtId="168" formatCode="0.0_);[Red]\(0.0\)"/>
    <numFmt numFmtId="169" formatCode="0_);[Red]\(0\)"/>
    <numFmt numFmtId="170" formatCode="yyyy\-mm\-dd"/>
    <numFmt numFmtId="171" formatCode="yyyy\-mm"/>
    <numFmt numFmtId="172" formatCode="0_ "/>
  </numFmts>
  <fonts count="24">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Calibri"/>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Cambria"/>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family val="3"/>
      <charset val="134"/>
    </font>
    <font>
      <sz val="10"/>
      <color theme="1"/>
      <name val="Arial"/>
      <family val="2"/>
    </font>
    <font>
      <b/>
      <sz val="12"/>
      <name val="Arial"/>
      <family val="2"/>
    </font>
    <font>
      <b/>
      <sz val="12"/>
      <color rgb="FFFF0000"/>
      <name val="Arial"/>
      <family val="2"/>
    </font>
    <font>
      <b/>
      <sz val="12"/>
      <color rgb="FF0000FF"/>
      <name val="Arial"/>
      <family val="2"/>
    </font>
    <font>
      <b/>
      <sz val="12"/>
      <name val="宋体"/>
      <family val="3"/>
      <charset val="134"/>
    </font>
    <font>
      <sz val="10"/>
      <color theme="1"/>
      <name val="宋体"/>
      <family val="3"/>
      <charset val="134"/>
    </font>
    <font>
      <sz val="10"/>
      <color theme="9" tint="-0.499984740745262"/>
      <name val="Arial"/>
      <family val="2"/>
    </font>
    <font>
      <u/>
      <sz val="10"/>
      <color theme="10"/>
      <name val="Arial"/>
      <family val="2"/>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theme="8" tint="0.39997558519241921"/>
        <bgColor indexed="64"/>
      </patternFill>
    </fill>
  </fills>
  <borders count="5">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24">
    <xf numFmtId="166" fontId="0" fillId="0" borderId="0">
      <alignment vertical="center"/>
    </xf>
    <xf numFmtId="166" fontId="3" fillId="0" borderId="0"/>
    <xf numFmtId="166" fontId="1" fillId="0" borderId="0"/>
    <xf numFmtId="166" fontId="3" fillId="0" borderId="0"/>
    <xf numFmtId="166" fontId="5" fillId="0" borderId="0"/>
    <xf numFmtId="166" fontId="4" fillId="0" borderId="0"/>
    <xf numFmtId="166" fontId="6" fillId="0" borderId="0"/>
    <xf numFmtId="166" fontId="1" fillId="0" borderId="0">
      <alignment vertical="center"/>
    </xf>
    <xf numFmtId="166" fontId="7" fillId="0" borderId="0">
      <alignment vertical="center"/>
    </xf>
    <xf numFmtId="164" fontId="1" fillId="0" borderId="0" applyFont="0" applyFill="0" applyBorder="0" applyAlignment="0" applyProtection="0">
      <alignment vertical="center"/>
    </xf>
    <xf numFmtId="166" fontId="1" fillId="0" borderId="0">
      <alignment vertical="center"/>
    </xf>
    <xf numFmtId="166" fontId="1" fillId="0" borderId="0">
      <alignment vertical="center"/>
    </xf>
    <xf numFmtId="166" fontId="1" fillId="0" borderId="0">
      <alignment vertical="center"/>
    </xf>
    <xf numFmtId="166" fontId="1" fillId="0" borderId="0">
      <alignment vertical="center"/>
    </xf>
    <xf numFmtId="166" fontId="1" fillId="0" borderId="0"/>
    <xf numFmtId="166" fontId="1" fillId="0" borderId="0">
      <alignment vertical="center"/>
    </xf>
    <xf numFmtId="166" fontId="1" fillId="0" borderId="0">
      <alignment vertical="center"/>
    </xf>
    <xf numFmtId="166" fontId="1" fillId="0" borderId="0">
      <alignment vertical="center"/>
    </xf>
    <xf numFmtId="166" fontId="13" fillId="0" borderId="0" applyNumberFormat="0" applyFill="0" applyBorder="0" applyAlignment="0" applyProtection="0">
      <alignment vertical="top"/>
      <protection locked="0"/>
    </xf>
    <xf numFmtId="166" fontId="1" fillId="0" borderId="0">
      <alignment vertical="center"/>
    </xf>
    <xf numFmtId="166" fontId="1" fillId="0" borderId="0">
      <alignment vertical="center"/>
    </xf>
    <xf numFmtId="166" fontId="13" fillId="0" borderId="0" applyNumberFormat="0" applyFill="0" applyBorder="0" applyAlignment="0" applyProtection="0">
      <alignment vertical="center"/>
    </xf>
    <xf numFmtId="0" fontId="1" fillId="0" borderId="0">
      <alignment vertical="center"/>
    </xf>
    <xf numFmtId="0" fontId="4" fillId="0" borderId="0"/>
  </cellStyleXfs>
  <cellXfs count="74">
    <xf numFmtId="166" fontId="0" fillId="0" borderId="0" xfId="0">
      <alignment vertical="center"/>
    </xf>
    <xf numFmtId="166" fontId="0" fillId="0" borderId="0" xfId="0" applyAlignment="1">
      <alignment vertical="center" wrapText="1"/>
    </xf>
    <xf numFmtId="167" fontId="1" fillId="0" borderId="0" xfId="7" applyNumberFormat="1">
      <alignment vertical="center"/>
    </xf>
    <xf numFmtId="166" fontId="0" fillId="0" borderId="0" xfId="0" pivotButton="1">
      <alignment vertical="center"/>
    </xf>
    <xf numFmtId="166" fontId="0" fillId="0" borderId="0" xfId="0" applyAlignment="1">
      <alignment horizontal="left" vertical="center"/>
    </xf>
    <xf numFmtId="167" fontId="1" fillId="0" borderId="0" xfId="7" applyNumberFormat="1" applyAlignment="1">
      <alignment horizontal="center" vertical="center"/>
    </xf>
    <xf numFmtId="167" fontId="0" fillId="0" borderId="0" xfId="0" applyNumberFormat="1">
      <alignment vertical="center"/>
    </xf>
    <xf numFmtId="166" fontId="1" fillId="0" borderId="0" xfId="0" applyFont="1">
      <alignment vertical="center"/>
    </xf>
    <xf numFmtId="165" fontId="1" fillId="0" borderId="0" xfId="7" applyNumberFormat="1">
      <alignment vertical="center"/>
    </xf>
    <xf numFmtId="167" fontId="11" fillId="0" borderId="0" xfId="0" applyNumberFormat="1" applyFont="1" applyBorder="1" applyAlignment="1">
      <alignment horizontal="justify" vertical="top" wrapText="1"/>
    </xf>
    <xf numFmtId="167" fontId="8" fillId="2" borderId="1" xfId="0" applyNumberFormat="1" applyFont="1" applyFill="1" applyBorder="1" applyAlignment="1">
      <alignment horizontal="center" vertical="center" wrapText="1" readingOrder="1"/>
    </xf>
    <xf numFmtId="168" fontId="8" fillId="9" borderId="1" xfId="0" applyNumberFormat="1" applyFont="1" applyFill="1" applyBorder="1" applyAlignment="1">
      <alignment horizontal="center" vertical="center" wrapText="1" readingOrder="1"/>
    </xf>
    <xf numFmtId="167" fontId="8" fillId="9" borderId="1" xfId="0" applyNumberFormat="1" applyFont="1" applyFill="1" applyBorder="1" applyAlignment="1">
      <alignment horizontal="center" vertical="center" wrapText="1" readingOrder="1"/>
    </xf>
    <xf numFmtId="167" fontId="0" fillId="7" borderId="2" xfId="0" applyNumberFormat="1" applyFill="1" applyBorder="1">
      <alignment vertical="center"/>
    </xf>
    <xf numFmtId="168" fontId="0" fillId="8" borderId="2" xfId="0" applyNumberFormat="1" applyFill="1" applyBorder="1">
      <alignment vertical="center"/>
    </xf>
    <xf numFmtId="166" fontId="0" fillId="0" borderId="0" xfId="0" applyNumberFormat="1">
      <alignment vertical="center"/>
    </xf>
    <xf numFmtId="166" fontId="1" fillId="0" borderId="0" xfId="17">
      <alignment vertical="center"/>
    </xf>
    <xf numFmtId="166" fontId="1" fillId="0" borderId="0" xfId="13" applyNumberFormat="1">
      <alignment vertical="center"/>
    </xf>
    <xf numFmtId="166" fontId="0" fillId="0" borderId="0" xfId="0">
      <alignment vertical="center"/>
    </xf>
    <xf numFmtId="166" fontId="1" fillId="0" borderId="0" xfId="19">
      <alignment vertical="center"/>
    </xf>
    <xf numFmtId="166" fontId="14" fillId="0" borderId="0" xfId="0" applyFont="1">
      <alignment vertical="center"/>
    </xf>
    <xf numFmtId="166" fontId="1" fillId="0" borderId="0" xfId="20">
      <alignment vertical="center"/>
    </xf>
    <xf numFmtId="166" fontId="1" fillId="0" borderId="0" xfId="20" applyFill="1">
      <alignment vertical="center"/>
    </xf>
    <xf numFmtId="166" fontId="1" fillId="0" borderId="0" xfId="19" applyFill="1">
      <alignment vertical="center"/>
    </xf>
    <xf numFmtId="166" fontId="12" fillId="3" borderId="0" xfId="0" applyNumberFormat="1" applyFont="1" applyFill="1" applyBorder="1" applyAlignment="1">
      <alignment horizontal="left" vertical="center"/>
    </xf>
    <xf numFmtId="166" fontId="1" fillId="3" borderId="0" xfId="17" applyFill="1" applyBorder="1">
      <alignment vertical="center"/>
    </xf>
    <xf numFmtId="167" fontId="9" fillId="9" borderId="2" xfId="5" applyNumberFormat="1" applyFont="1" applyFill="1" applyBorder="1" applyAlignment="1">
      <alignment horizontal="center" vertical="center" wrapText="1" readingOrder="1"/>
    </xf>
    <xf numFmtId="167"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70"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66" fontId="4" fillId="0" borderId="0" xfId="13" applyNumberFormat="1" applyFont="1">
      <alignment vertical="center"/>
    </xf>
    <xf numFmtId="166" fontId="0" fillId="0" borderId="0" xfId="0" applyAlignment="1">
      <alignment horizontal="left" vertical="center" indent="1"/>
    </xf>
    <xf numFmtId="2" fontId="0" fillId="0" borderId="0" xfId="0" applyNumberFormat="1">
      <alignment vertical="center"/>
    </xf>
    <xf numFmtId="14" fontId="0" fillId="0" borderId="0" xfId="0" applyNumberFormat="1" applyAlignment="1">
      <alignment horizontal="left" vertical="center"/>
    </xf>
    <xf numFmtId="171" fontId="0" fillId="0" borderId="0" xfId="0" applyNumberFormat="1" applyAlignment="1">
      <alignment horizontal="left" vertical="center"/>
    </xf>
    <xf numFmtId="1" fontId="0" fillId="0" borderId="0" xfId="0" applyNumberFormat="1">
      <alignment vertical="center"/>
    </xf>
    <xf numFmtId="171" fontId="0" fillId="0" borderId="0" xfId="0" pivotButton="1" applyNumberFormat="1">
      <alignment vertical="center"/>
    </xf>
    <xf numFmtId="171" fontId="0" fillId="0" borderId="0" xfId="0" applyNumberFormat="1" applyAlignment="1">
      <alignment horizontal="left" vertical="center" indent="1"/>
    </xf>
    <xf numFmtId="171" fontId="0" fillId="0" borderId="0" xfId="0" applyNumberFormat="1">
      <alignment vertical="center"/>
    </xf>
    <xf numFmtId="166" fontId="17" fillId="0" borderId="3" xfId="19" applyNumberFormat="1" applyFont="1" applyFill="1" applyBorder="1">
      <alignment vertical="center"/>
    </xf>
    <xf numFmtId="166" fontId="17" fillId="0" borderId="4" xfId="19" applyNumberFormat="1" applyFont="1" applyFill="1" applyBorder="1">
      <alignment vertical="center"/>
    </xf>
    <xf numFmtId="170" fontId="16" fillId="6" borderId="4" xfId="1" applyNumberFormat="1" applyFont="1" applyFill="1" applyBorder="1" applyAlignment="1">
      <alignment horizontal="left" vertical="center" wrapText="1"/>
    </xf>
    <xf numFmtId="166" fontId="17" fillId="11" borderId="4" xfId="19" applyNumberFormat="1" applyFont="1" applyFill="1" applyBorder="1">
      <alignment vertical="center"/>
    </xf>
    <xf numFmtId="49" fontId="16" fillId="5" borderId="4" xfId="1" applyNumberFormat="1" applyFont="1" applyFill="1" applyBorder="1" applyAlignment="1">
      <alignment horizontal="left" vertical="center" wrapText="1"/>
    </xf>
    <xf numFmtId="171" fontId="16" fillId="5" borderId="4" xfId="1" applyNumberFormat="1" applyFont="1" applyFill="1" applyBorder="1" applyAlignment="1">
      <alignment horizontal="left" vertical="center" wrapText="1"/>
    </xf>
    <xf numFmtId="172" fontId="16" fillId="5" borderId="4" xfId="1" applyNumberFormat="1" applyFont="1" applyFill="1" applyBorder="1" applyAlignment="1">
      <alignment horizontal="left" vertical="center" wrapText="1"/>
    </xf>
    <xf numFmtId="166" fontId="17" fillId="11" borderId="4" xfId="19" applyNumberFormat="1" applyFont="1" applyFill="1" applyBorder="1" applyAlignment="1">
      <alignment vertical="center" wrapText="1"/>
    </xf>
    <xf numFmtId="1" fontId="17" fillId="11" borderId="4" xfId="19" applyNumberFormat="1" applyFont="1" applyFill="1" applyBorder="1">
      <alignment vertical="center"/>
    </xf>
    <xf numFmtId="1" fontId="16" fillId="5" borderId="4" xfId="1" applyNumberFormat="1" applyFont="1" applyFill="1" applyBorder="1" applyAlignment="1">
      <alignment horizontal="left" vertical="center" wrapText="1"/>
    </xf>
    <xf numFmtId="49" fontId="21" fillId="10" borderId="4" xfId="1" applyNumberFormat="1" applyFont="1" applyFill="1" applyBorder="1" applyAlignment="1">
      <alignment horizontal="left" vertical="center" wrapText="1"/>
    </xf>
    <xf numFmtId="49" fontId="22" fillId="10" borderId="4" xfId="1" applyNumberFormat="1" applyFont="1" applyFill="1" applyBorder="1" applyAlignment="1">
      <alignment horizontal="left" vertical="center" wrapText="1"/>
    </xf>
    <xf numFmtId="170" fontId="22" fillId="10" borderId="4" xfId="1" applyNumberFormat="1" applyFont="1" applyFill="1" applyBorder="1" applyAlignment="1">
      <alignment horizontal="left" vertical="center" wrapText="1"/>
    </xf>
    <xf numFmtId="1" fontId="22" fillId="5" borderId="4" xfId="1" applyNumberFormat="1" applyFont="1" applyFill="1" applyBorder="1" applyAlignment="1">
      <alignment horizontal="left" vertical="center" wrapText="1"/>
    </xf>
    <xf numFmtId="49" fontId="23" fillId="6" borderId="4" xfId="18" applyNumberFormat="1" applyFont="1" applyFill="1" applyBorder="1" applyAlignment="1" applyProtection="1">
      <alignment horizontal="left" vertical="center" wrapText="1"/>
    </xf>
    <xf numFmtId="169" fontId="4" fillId="10" borderId="4" xfId="13" applyNumberFormat="1" applyFont="1" applyFill="1" applyBorder="1" applyAlignment="1">
      <alignment horizontal="center" vertical="center"/>
    </xf>
    <xf numFmtId="166" fontId="4" fillId="10" borderId="4" xfId="13" applyFont="1" applyFill="1" applyBorder="1">
      <alignment vertical="center"/>
    </xf>
    <xf numFmtId="170" fontId="4" fillId="10" borderId="4" xfId="13" applyNumberFormat="1" applyFont="1" applyFill="1" applyBorder="1">
      <alignment vertical="center"/>
    </xf>
    <xf numFmtId="166" fontId="4" fillId="10" borderId="4" xfId="13" applyNumberFormat="1" applyFont="1" applyFill="1" applyBorder="1">
      <alignment vertical="center"/>
    </xf>
    <xf numFmtId="170" fontId="4" fillId="6" borderId="4" xfId="13" applyNumberFormat="1" applyFont="1" applyFill="1" applyBorder="1">
      <alignment vertical="center"/>
    </xf>
    <xf numFmtId="166" fontId="4" fillId="5" borderId="4" xfId="7" applyNumberFormat="1" applyFont="1" applyFill="1" applyBorder="1" applyAlignment="1">
      <alignment vertical="center" wrapText="1"/>
    </xf>
    <xf numFmtId="171" fontId="4" fillId="5" borderId="4" xfId="13" applyNumberFormat="1" applyFont="1" applyFill="1" applyBorder="1">
      <alignment vertical="center"/>
    </xf>
    <xf numFmtId="166" fontId="4" fillId="6" borderId="4" xfId="13" applyFont="1" applyFill="1" applyBorder="1">
      <alignment vertical="center"/>
    </xf>
    <xf numFmtId="166" fontId="4" fillId="0" borderId="0" xfId="13" applyFont="1">
      <alignment vertical="center"/>
    </xf>
    <xf numFmtId="166" fontId="4" fillId="10" borderId="4" xfId="13" applyFont="1" applyFill="1" applyBorder="1" applyAlignment="1">
      <alignment vertical="center" wrapText="1"/>
    </xf>
    <xf numFmtId="166" fontId="17" fillId="11" borderId="4" xfId="19" applyNumberFormat="1" applyFont="1" applyFill="1" applyBorder="1" applyAlignment="1">
      <alignment horizontal="left" vertical="center"/>
    </xf>
    <xf numFmtId="14" fontId="4" fillId="10" borderId="4" xfId="13" applyNumberFormat="1" applyFont="1" applyFill="1" applyBorder="1" applyAlignment="1">
      <alignment horizontal="left" vertical="center"/>
    </xf>
    <xf numFmtId="49" fontId="13" fillId="6" borderId="4" xfId="18" applyNumberFormat="1" applyFill="1" applyBorder="1" applyAlignment="1" applyProtection="1">
      <alignment horizontal="left" vertical="center" wrapText="1"/>
    </xf>
    <xf numFmtId="167" fontId="9" fillId="7" borderId="2" xfId="5" applyNumberFormat="1" applyFont="1" applyFill="1" applyBorder="1" applyAlignment="1">
      <alignment horizontal="center" vertical="center"/>
    </xf>
    <xf numFmtId="167" fontId="9" fillId="7" borderId="2" xfId="5" applyNumberFormat="1" applyFont="1" applyFill="1" applyBorder="1" applyAlignment="1">
      <alignment horizontal="center" vertical="center" wrapText="1"/>
    </xf>
    <xf numFmtId="167" fontId="9" fillId="9" borderId="2" xfId="5" applyNumberFormat="1" applyFont="1" applyFill="1" applyBorder="1" applyAlignment="1">
      <alignment horizontal="center" vertical="center" wrapText="1" readingOrder="1"/>
    </xf>
    <xf numFmtId="49" fontId="17" fillId="11" borderId="4" xfId="19" applyNumberFormat="1" applyFont="1" applyFill="1" applyBorder="1">
      <alignment vertical="center"/>
    </xf>
    <xf numFmtId="170" fontId="17" fillId="11" borderId="4" xfId="19" applyNumberFormat="1" applyFont="1" applyFill="1" applyBorder="1" applyAlignment="1">
      <alignment horizontal="left" vertical="center"/>
    </xf>
    <xf numFmtId="170" fontId="4" fillId="10" borderId="4" xfId="13" applyNumberFormat="1" applyFont="1" applyFill="1" applyBorder="1" applyAlignment="1">
      <alignment horizontal="left" vertical="center"/>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10">
    <dxf>
      <numFmt numFmtId="171" formatCode="yyyy\-mm"/>
    </dxf>
    <dxf>
      <numFmt numFmtId="171" formatCode="yyyy\-mm"/>
    </dxf>
    <dxf>
      <numFmt numFmtId="171" formatCode="yyyy\-mm"/>
    </dxf>
    <dxf>
      <numFmt numFmtId="171" formatCode="yyyy\-mm"/>
    </dxf>
    <dxf>
      <numFmt numFmtId="2" formatCode="0.00"/>
    </dxf>
    <dxf>
      <numFmt numFmtId="2" formatCode="0.00"/>
    </dxf>
    <dxf>
      <numFmt numFmtId="1" formatCode="0"/>
    </dxf>
    <dxf>
      <numFmt numFmtId="171" formatCode="yyyy\-mm"/>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externalLink" Target="externalLinks/externalLink11.xml"/><Relationship Id="rId2" Type="http://schemas.openxmlformats.org/officeDocument/2006/relationships/worksheet" Target="worksheets/sheet2.xml"/><Relationship Id="rId16" Type="http://schemas.openxmlformats.org/officeDocument/2006/relationships/externalLink" Target="externalLinks/externalLink10.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9.xml"/><Relationship Id="rId23" Type="http://schemas.openxmlformats.org/officeDocument/2006/relationships/calcChain" Target="calcChain.xml"/><Relationship Id="rId10" Type="http://schemas.openxmlformats.org/officeDocument/2006/relationships/externalLink" Target="externalLinks/externalLink4.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externalLink" Target="externalLinks/externalLink8.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[大数据RAT需求汇总_20170626.xlsm]产业月度趋势图!数据透视表5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产业月度趋势图!$B$1</c:f>
              <c:strCache>
                <c:ptCount val="1"/>
                <c:pt idx="0">
                  <c:v>汇总</c:v>
                </c:pt>
              </c:strCache>
            </c:strRef>
          </c:tx>
          <c:spPr>
            <a:solidFill>
              <a:schemeClr val="accent1"/>
            </a:solidFill>
            <a:ln>
              <a:noFill/>
            </a:ln>
            <a:effectLst/>
          </c:spPr>
          <c:invertIfNegative val="0"/>
          <c:cat>
            <c:multiLvlStrRef>
              <c:f>产业月度趋势图!$A$2:$A$10</c:f>
              <c:multiLvlStrCache>
                <c:ptCount val="6"/>
                <c:lvl>
                  <c:pt idx="0">
                    <c:v>2017/1/1</c:v>
                  </c:pt>
                  <c:pt idx="1">
                    <c:v>2017/2/1</c:v>
                  </c:pt>
                  <c:pt idx="2">
                    <c:v>2017/3/1</c:v>
                  </c:pt>
                  <c:pt idx="3">
                    <c:v>2017/4/1</c:v>
                  </c:pt>
                  <c:pt idx="4">
                    <c:v>2017/5/1</c:v>
                  </c:pt>
                  <c:pt idx="5">
                    <c:v>(空白)</c:v>
                  </c:pt>
                </c:lvl>
                <c:lvl>
                  <c:pt idx="0">
                    <c:v>游戏</c:v>
                  </c:pt>
                  <c:pt idx="5">
                    <c:v>(空白)</c:v>
                  </c:pt>
                </c:lvl>
              </c:multiLvlStrCache>
            </c:multiLvlStrRef>
          </c:cat>
          <c:val>
            <c:numRef>
              <c:f>产业月度趋势图!$B$2:$B$10</c:f>
              <c:numCache>
                <c:formatCode>0.00</c:formatCode>
                <c:ptCount val="6"/>
                <c:pt idx="0">
                  <c:v>1.05</c:v>
                </c:pt>
                <c:pt idx="1">
                  <c:v>2.5</c:v>
                </c:pt>
                <c:pt idx="2">
                  <c:v>2</c:v>
                </c:pt>
                <c:pt idx="3">
                  <c:v>1.1499999999999999</c:v>
                </c:pt>
                <c:pt idx="4">
                  <c:v>1.1499999999999999</c:v>
                </c:pt>
              </c:numCache>
            </c:numRef>
          </c:val>
        </c:ser>
        <c:dLbls>
          <c:showLegendKey val="0"/>
          <c:showVal val="0"/>
          <c:showCatName val="0"/>
          <c:showSerName val="0"/>
          <c:showPercent val="0"/>
          <c:showBubbleSize val="0"/>
        </c:dLbls>
        <c:gapWidth val="219"/>
        <c:overlap val="-27"/>
        <c:axId val="543318048"/>
        <c:axId val="543304992"/>
      </c:barChart>
      <c:catAx>
        <c:axId val="54331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304992"/>
        <c:crosses val="autoZero"/>
        <c:auto val="1"/>
        <c:lblAlgn val="ctr"/>
        <c:lblOffset val="100"/>
        <c:noMultiLvlLbl val="0"/>
      </c:catAx>
      <c:valAx>
        <c:axId val="543304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318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336174</xdr:colOff>
      <xdr:row>5</xdr:row>
      <xdr:rowOff>62753</xdr:rowOff>
    </xdr:from>
    <xdr:to>
      <xdr:col>19</xdr:col>
      <xdr:colOff>246530</xdr:colOff>
      <xdr:row>31</xdr:row>
      <xdr:rowOff>56030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zhangjian 00200084</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zhangjian 00200084</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00255622" refreshedDate="42892.602886689812" createdVersion="5" refreshedVersion="5" minRefreshableVersion="3" recordCount="14">
  <cacheSource type="worksheet">
    <worksheetSource ref="I1:R1048576" sheet="全部RM"/>
  </cacheSource>
  <cacheFields count="12">
    <cacheField name="需求类型*" numFmtId="0">
      <sharedItems containsBlank="1"/>
    </cacheField>
    <cacheField name="项目名称" numFmtId="0">
      <sharedItems containsBlank="1"/>
    </cacheField>
    <cacheField name="产业*" numFmtId="0">
      <sharedItems containsBlank="1" count="2">
        <s v="游戏"/>
        <m/>
      </sharedItems>
    </cacheField>
    <cacheField name="工作量(K)*" numFmtId="2">
      <sharedItems containsString="0" containsBlank="1" containsNumber="1" minValue="0.1" maxValue="15"/>
    </cacheField>
    <cacheField name="需求类型（细化）" numFmtId="49">
      <sharedItems containsBlank="1" count="2">
        <s v="正常需求"/>
        <m/>
      </sharedItems>
    </cacheField>
    <cacheField name="数据源具备时间" numFmtId="170">
      <sharedItems containsNonDate="0" containsString="0" containsBlank="1"/>
    </cacheField>
    <cacheField name="数据接口确定时间" numFmtId="170">
      <sharedItems containsNonDate="0" containsString="0" containsBlank="1"/>
    </cacheField>
    <cacheField name="One Data迁移满足度" numFmtId="170">
      <sharedItems containsNonDate="0" containsString="0" containsBlank="1"/>
    </cacheField>
    <cacheField name="预期交付时间点* " numFmtId="0">
      <sharedItems containsBlank="1"/>
    </cacheField>
    <cacheField name="月度版本N（交付时间为 N+1月底 ）" numFmtId="171">
      <sharedItems containsNonDate="0" containsDate="1" containsString="0" containsBlank="1" minDate="2017-01-01T00:00:00" maxDate="2017-05-02T00:00:00" count="6">
        <d v="2017-01-01T00:00:00"/>
        <d v="2017-02-01T00:00:00"/>
        <d v="2017-03-01T00:00:00"/>
        <d v="2017-04-01T00:00:00"/>
        <d v="2017-05-01T00:00:00"/>
        <m/>
      </sharedItems>
    </cacheField>
    <cacheField name="交付版本号 " numFmtId="0">
      <sharedItems containsNonDate="0" containsString="0" containsBlank="1"/>
    </cacheField>
    <cacheField name="综合结论" numFmtId="0">
      <sharedItems containsBlank="1" count="3">
        <s v="02 接纳|纳入新版本路标规划"/>
        <m/>
        <s v="2 接纳|纳入新版本路标规划"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00255622" refreshedDate="42892.60351296296" createdVersion="5" refreshedVersion="5" minRefreshableVersion="3" recordCount="14">
  <cacheSource type="worksheet">
    <worksheetSource ref="J1:R1048576" sheet="全部RM"/>
  </cacheSource>
  <cacheFields count="8">
    <cacheField name="产业*" numFmtId="0">
      <sharedItems containsBlank="1" count="2">
        <s v="游戏"/>
        <m/>
      </sharedItems>
    </cacheField>
    <cacheField name="工作量(K)*" numFmtId="2">
      <sharedItems containsString="0" containsBlank="1" containsNumber="1" minValue="0.1" maxValue="1.5"/>
    </cacheField>
    <cacheField name="需求类型（细化）" numFmtId="49">
      <sharedItems containsBlank="1"/>
    </cacheField>
    <cacheField name="数据源具备时间" numFmtId="170">
      <sharedItems containsNonDate="0" containsString="0" containsBlank="1"/>
    </cacheField>
    <cacheField name="数据接口确定时间" numFmtId="170">
      <sharedItems containsNonDate="0" containsString="0" containsBlank="1"/>
    </cacheField>
    <cacheField name="One Data迁移满足度" numFmtId="170">
      <sharedItems containsNonDate="0" containsString="0" containsBlank="1"/>
    </cacheField>
    <cacheField name="预期交付时间点* " numFmtId="0">
      <sharedItems containsBlank="1"/>
    </cacheField>
    <cacheField name="月度版本N（交付时间为 N+1月底 ）" numFmtId="171">
      <sharedItems containsNonDate="0" containsDate="1" containsString="0" containsBlank="1" minDate="2017-01-01T00:00:00" maxDate="2017-05-02T00:00:00" count="6">
        <d v="2017-01-01T00:00:00"/>
        <d v="2017-02-01T00:00:00"/>
        <d v="2017-03-01T00:00:00"/>
        <d v="2017-04-01T00:00:00"/>
        <d v="2017-05-01T00:00:0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
  <r>
    <s v="功能 Function"/>
    <s v="All"/>
    <x v="0"/>
    <n v="0.3"/>
    <x v="0"/>
    <m/>
    <m/>
    <m/>
    <s v="2017-07-30"/>
    <x v="0"/>
    <m/>
    <x v="0"/>
  </r>
  <r>
    <s v="功能 Function"/>
    <m/>
    <x v="0"/>
    <n v="0.1"/>
    <x v="0"/>
    <m/>
    <m/>
    <m/>
    <m/>
    <x v="0"/>
    <m/>
    <x v="0"/>
  </r>
  <r>
    <s v="功能 Function"/>
    <m/>
    <x v="0"/>
    <n v="0.3"/>
    <x v="0"/>
    <m/>
    <m/>
    <m/>
    <m/>
    <x v="0"/>
    <m/>
    <x v="0"/>
  </r>
  <r>
    <s v="功能 Function"/>
    <m/>
    <x v="0"/>
    <n v="0.15"/>
    <x v="0"/>
    <m/>
    <m/>
    <m/>
    <m/>
    <x v="0"/>
    <m/>
    <x v="0"/>
  </r>
  <r>
    <s v="功能 Function"/>
    <m/>
    <x v="0"/>
    <n v="0.2"/>
    <x v="0"/>
    <m/>
    <m/>
    <m/>
    <m/>
    <x v="0"/>
    <m/>
    <x v="0"/>
  </r>
  <r>
    <s v="功能 Function"/>
    <m/>
    <x v="0"/>
    <n v="1.5"/>
    <x v="0"/>
    <m/>
    <m/>
    <m/>
    <m/>
    <x v="1"/>
    <m/>
    <x v="0"/>
  </r>
  <r>
    <s v="功能 Function"/>
    <m/>
    <x v="0"/>
    <n v="1"/>
    <x v="0"/>
    <m/>
    <m/>
    <m/>
    <m/>
    <x v="1"/>
    <m/>
    <x v="0"/>
  </r>
  <r>
    <s v="功能 Function"/>
    <m/>
    <x v="0"/>
    <n v="1"/>
    <x v="0"/>
    <m/>
    <m/>
    <m/>
    <m/>
    <x v="2"/>
    <m/>
    <x v="0"/>
  </r>
  <r>
    <s v="功能 Function"/>
    <m/>
    <x v="0"/>
    <n v="1"/>
    <x v="0"/>
    <m/>
    <m/>
    <m/>
    <m/>
    <x v="2"/>
    <m/>
    <x v="0"/>
  </r>
  <r>
    <s v="功能 Function"/>
    <m/>
    <x v="0"/>
    <n v="0.15"/>
    <x v="0"/>
    <m/>
    <m/>
    <m/>
    <m/>
    <x v="3"/>
    <m/>
    <x v="0"/>
  </r>
  <r>
    <s v="功能 Function"/>
    <m/>
    <x v="0"/>
    <n v="15"/>
    <x v="0"/>
    <m/>
    <m/>
    <m/>
    <m/>
    <x v="3"/>
    <m/>
    <x v="0"/>
  </r>
  <r>
    <s v="功能 Function"/>
    <m/>
    <x v="0"/>
    <n v="0.15"/>
    <x v="0"/>
    <m/>
    <m/>
    <m/>
    <m/>
    <x v="4"/>
    <m/>
    <x v="0"/>
  </r>
  <r>
    <s v="功能 Function"/>
    <m/>
    <x v="0"/>
    <n v="1"/>
    <x v="0"/>
    <m/>
    <m/>
    <m/>
    <m/>
    <x v="4"/>
    <m/>
    <x v="0"/>
  </r>
  <r>
    <m/>
    <m/>
    <x v="1"/>
    <m/>
    <x v="1"/>
    <m/>
    <m/>
    <m/>
    <m/>
    <x v="5"/>
    <m/>
    <x v="1"/>
  </r>
</pivotCacheRecords>
</file>

<file path=xl/pivotCache/pivotCacheRecords2.xml><?xml version="1.0" encoding="utf-8"?>
<pivotCacheRecords xmlns="http://schemas.openxmlformats.org/spreadsheetml/2006/main" xmlns:r="http://schemas.openxmlformats.org/officeDocument/2006/relationships" count="14">
  <r>
    <x v="0"/>
    <n v="0.3"/>
    <s v="正常需求"/>
    <m/>
    <m/>
    <m/>
    <s v="2017-07-30"/>
    <x v="0"/>
  </r>
  <r>
    <x v="0"/>
    <n v="0.1"/>
    <s v="正常需求"/>
    <m/>
    <m/>
    <m/>
    <m/>
    <x v="0"/>
  </r>
  <r>
    <x v="0"/>
    <n v="0.3"/>
    <s v="正常需求"/>
    <m/>
    <m/>
    <m/>
    <m/>
    <x v="0"/>
  </r>
  <r>
    <x v="0"/>
    <n v="0.15"/>
    <s v="正常需求"/>
    <m/>
    <m/>
    <m/>
    <m/>
    <x v="0"/>
  </r>
  <r>
    <x v="0"/>
    <n v="0.2"/>
    <s v="正常需求"/>
    <m/>
    <m/>
    <m/>
    <m/>
    <x v="0"/>
  </r>
  <r>
    <x v="0"/>
    <n v="1.5"/>
    <s v="正常需求"/>
    <m/>
    <m/>
    <m/>
    <m/>
    <x v="1"/>
  </r>
  <r>
    <x v="0"/>
    <n v="1"/>
    <s v="正常需求"/>
    <m/>
    <m/>
    <m/>
    <m/>
    <x v="1"/>
  </r>
  <r>
    <x v="0"/>
    <n v="1"/>
    <s v="正常需求"/>
    <m/>
    <m/>
    <m/>
    <m/>
    <x v="2"/>
  </r>
  <r>
    <x v="0"/>
    <n v="1"/>
    <s v="正常需求"/>
    <m/>
    <m/>
    <m/>
    <m/>
    <x v="2"/>
  </r>
  <r>
    <x v="0"/>
    <n v="0.15"/>
    <s v="正常需求"/>
    <m/>
    <m/>
    <m/>
    <m/>
    <x v="3"/>
  </r>
  <r>
    <x v="0"/>
    <n v="1"/>
    <s v="正常需求"/>
    <m/>
    <m/>
    <m/>
    <m/>
    <x v="3"/>
  </r>
  <r>
    <x v="0"/>
    <n v="0.15"/>
    <s v="正常需求"/>
    <m/>
    <m/>
    <m/>
    <m/>
    <x v="4"/>
  </r>
  <r>
    <x v="0"/>
    <n v="1"/>
    <s v="正常需求"/>
    <m/>
    <m/>
    <m/>
    <m/>
    <x v="4"/>
  </r>
  <r>
    <x v="1"/>
    <m/>
    <m/>
    <m/>
    <m/>
    <m/>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4" cacheId="28"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C7" firstHeaderRow="0" firstDataRow="1" firstDataCol="1" rowPageCount="3" colPageCount="1"/>
  <pivotFields count="12">
    <pivotField showAll="0"/>
    <pivotField showAll="0"/>
    <pivotField axis="axisRow" showAll="0">
      <items count="3">
        <item x="0"/>
        <item x="1"/>
        <item t="default"/>
      </items>
    </pivotField>
    <pivotField dataField="1" showAll="0"/>
    <pivotField axis="axisPage" showAll="0">
      <items count="3">
        <item x="0"/>
        <item x="1"/>
        <item t="default"/>
      </items>
    </pivotField>
    <pivotField showAll="0" defaultSubtotal="0"/>
    <pivotField showAll="0" defaultSubtotal="0"/>
    <pivotField showAll="0" defaultSubtotal="0"/>
    <pivotField showAll="0" defaultSubtotal="0"/>
    <pivotField axis="axisPage" showAll="0">
      <items count="7">
        <item x="0"/>
        <item x="1"/>
        <item x="2"/>
        <item x="3"/>
        <item x="4"/>
        <item x="5"/>
        <item t="default"/>
      </items>
    </pivotField>
    <pivotField showAll="0"/>
    <pivotField axis="axisPage" showAll="0">
      <items count="4">
        <item x="0"/>
        <item m="1" x="2"/>
        <item x="1"/>
        <item t="default"/>
      </items>
    </pivotField>
  </pivotFields>
  <rowFields count="1">
    <field x="2"/>
  </rowFields>
  <rowItems count="2">
    <i>
      <x/>
    </i>
    <i t="grand">
      <x/>
    </i>
  </rowItems>
  <colFields count="1">
    <field x="-2"/>
  </colFields>
  <colItems count="2">
    <i>
      <x/>
    </i>
    <i i="1">
      <x v="1"/>
    </i>
  </colItems>
  <pageFields count="3">
    <pageField fld="9" item="0" hier="-1"/>
    <pageField fld="11" hier="-1"/>
    <pageField fld="4" hier="-1"/>
  </pageFields>
  <dataFields count="2">
    <dataField name="总工作量(K)" fld="3" baseField="2" baseItem="0" numFmtId="2"/>
    <dataField name="功能点" fld="3" subtotal="count" baseField="2" baseItem="0" numFmtId="1"/>
  </dataFields>
  <formats count="2">
    <format dxfId="7">
      <pivotArea dataOnly="0" labelOnly="1" outline="0" fieldPosition="0">
        <references count="2">
          <reference field="9" count="1">
            <x v="0"/>
          </reference>
          <reference field="11" count="1" selected="0">
            <x v="0"/>
          </reference>
        </references>
      </pivotArea>
    </format>
    <format dxfId="6">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29"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B10" firstHeaderRow="1" firstDataRow="1" firstDataCol="1"/>
  <pivotFields count="8">
    <pivotField axis="axisRow" showAll="0">
      <items count="3">
        <item x="0"/>
        <item x="1"/>
        <item t="default"/>
      </items>
    </pivotField>
    <pivotField dataField="1" showAll="0"/>
    <pivotField showAll="0"/>
    <pivotField showAll="0" defaultSubtotal="0"/>
    <pivotField showAll="0" defaultSubtotal="0"/>
    <pivotField showAll="0" defaultSubtotal="0"/>
    <pivotField showAll="0" defaultSubtotal="0"/>
    <pivotField axis="axisRow" showAll="0">
      <items count="7">
        <item x="0"/>
        <item x="1"/>
        <item x="2"/>
        <item x="3"/>
        <item x="4"/>
        <item x="5"/>
        <item t="default"/>
      </items>
    </pivotField>
  </pivotFields>
  <rowFields count="2">
    <field x="0"/>
    <field x="7"/>
  </rowFields>
  <rowItems count="9">
    <i>
      <x/>
    </i>
    <i r="1">
      <x/>
    </i>
    <i r="1">
      <x v="1"/>
    </i>
    <i r="1">
      <x v="2"/>
    </i>
    <i r="1">
      <x v="3"/>
    </i>
    <i r="1">
      <x v="4"/>
    </i>
    <i>
      <x v="1"/>
    </i>
    <i r="1">
      <x v="5"/>
    </i>
    <i t="grand">
      <x/>
    </i>
  </rowItems>
  <colItems count="1">
    <i/>
  </colItems>
  <dataFields count="1">
    <dataField name="工作量(K)" fld="1" baseField="0" baseItem="0" numFmtId="2"/>
  </dataFields>
  <formats count="6">
    <format dxfId="5">
      <pivotArea outline="0" collapsedLevelsAreSubtotals="1" fieldPosition="0"/>
    </format>
    <format dxfId="4">
      <pivotArea dataOnly="0" labelOnly="1" outline="0" axis="axisValues"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fieldPosition="0">
        <references count="2">
          <reference field="0" count="1" selected="0">
            <x v="0"/>
          </reference>
          <reference field="7"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9"/>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8"/>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
  <cols>
    <col min="1" max="1" width="9.453125" customWidth="1"/>
    <col min="2" max="2" width="9.6328125" customWidth="1"/>
    <col min="3" max="3" width="18.08984375" customWidth="1"/>
    <col min="4" max="4" width="15.08984375" customWidth="1"/>
    <col min="5" max="5" width="36" customWidth="1"/>
    <col min="6" max="6" width="24.6328125" customWidth="1"/>
    <col min="7" max="7" width="23.453125" customWidth="1"/>
    <col min="8" max="8" width="25.08984375" customWidth="1"/>
    <col min="9" max="9" width="14.1796875" customWidth="1"/>
    <col min="22" max="22" width="23.36328125" customWidth="1"/>
    <col min="23" max="23" width="36.36328125" customWidth="1"/>
    <col min="24" max="24" width="27.08984375" customWidth="1"/>
    <col min="25" max="25" width="18.08984375" customWidth="1"/>
    <col min="26" max="26" width="20.54296875" customWidth="1"/>
    <col min="27" max="27" width="29.1796875" customWidth="1"/>
    <col min="28" max="28" width="20.453125" customWidth="1"/>
    <col min="29" max="29" width="26.36328125" customWidth="1"/>
    <col min="30" max="30" width="16.6328125" customWidth="1"/>
    <col min="31" max="31" width="15.90625" customWidth="1"/>
    <col min="32" max="32" width="18.1796875" customWidth="1"/>
    <col min="33" max="33" width="16.81640625" customWidth="1"/>
    <col min="34" max="34" width="9.90625" customWidth="1"/>
    <col min="35" max="35" width="17.90625" customWidth="1"/>
    <col min="36" max="36" width="25.453125" customWidth="1"/>
    <col min="37" max="37" width="24.81640625" customWidth="1"/>
    <col min="38" max="38" width="26.36328125" customWidth="1"/>
    <col min="39" max="39" width="13.08984375" customWidth="1"/>
    <col min="40" max="40" width="16.08984375" customWidth="1"/>
    <col min="41" max="41" width="9.5429687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6">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21"/>
  <sheetViews>
    <sheetView tabSelected="1" topLeftCell="N1" zoomScale="85" zoomScaleNormal="85" zoomScaleSheetLayoutView="115" workbookViewId="0">
      <pane ySplit="1" topLeftCell="A11" activePane="bottomLeft" state="frozen"/>
      <selection pane="bottomLeft" activeCell="G6" sqref="G6"/>
    </sheetView>
  </sheetViews>
  <sheetFormatPr defaultColWidth="8.81640625" defaultRowHeight="13.2"/>
  <cols>
    <col min="1" max="1" width="12.453125" style="55" customWidth="1"/>
    <col min="2" max="2" width="28.6328125" style="28" customWidth="1"/>
    <col min="3" max="3" width="54" style="64" customWidth="1"/>
    <col min="4" max="4" width="13.6328125" style="56" customWidth="1"/>
    <col min="5" max="5" width="13.6328125" style="57" customWidth="1"/>
    <col min="6" max="6" width="13.453125" style="57" customWidth="1"/>
    <col min="7" max="7" width="13.453125" style="73" customWidth="1"/>
    <col min="8" max="8" width="16" style="66" customWidth="1"/>
    <col min="9" max="9" width="13.1796875" style="58" customWidth="1"/>
    <col min="10" max="10" width="13.453125" style="49" customWidth="1"/>
    <col min="11" max="11" width="23.453125" style="46" customWidth="1"/>
    <col min="12" max="12" width="18.453125" style="30" customWidth="1"/>
    <col min="13" max="13" width="14.90625" style="28" customWidth="1"/>
    <col min="14" max="14" width="16.08984375" style="59" customWidth="1"/>
    <col min="15" max="15" width="16" style="29" customWidth="1"/>
    <col min="16" max="16" width="20.6328125" style="29" customWidth="1"/>
    <col min="17" max="17" width="26.36328125" style="60" customWidth="1"/>
    <col min="18" max="18" width="27.36328125" style="61" customWidth="1"/>
    <col min="19" max="19" width="15.453125" style="62" customWidth="1"/>
    <col min="20" max="20" width="15.6328125" style="62" customWidth="1"/>
    <col min="21" max="21" width="22.54296875" style="62" customWidth="1"/>
    <col min="22" max="22" width="12.1796875" style="62" customWidth="1"/>
    <col min="23" max="23" width="17.453125" style="62" customWidth="1"/>
    <col min="24" max="24" width="8.6328125" style="62" customWidth="1"/>
    <col min="25" max="16384" width="8.81640625" style="63"/>
  </cols>
  <sheetData>
    <row r="1" spans="1:25" s="41" customFormat="1" ht="48" customHeight="1">
      <c r="A1" s="43" t="s">
        <v>74</v>
      </c>
      <c r="B1" s="43" t="s">
        <v>95</v>
      </c>
      <c r="C1" s="47" t="s">
        <v>96</v>
      </c>
      <c r="D1" s="43" t="s">
        <v>84</v>
      </c>
      <c r="E1" s="43" t="s">
        <v>89</v>
      </c>
      <c r="F1" s="43" t="s">
        <v>67</v>
      </c>
      <c r="G1" s="72" t="s">
        <v>170</v>
      </c>
      <c r="H1" s="65" t="s">
        <v>97</v>
      </c>
      <c r="I1" s="43" t="s">
        <v>98</v>
      </c>
      <c r="J1" s="48" t="s">
        <v>141</v>
      </c>
      <c r="K1" s="43" t="s">
        <v>142</v>
      </c>
      <c r="L1" s="71" t="s">
        <v>55</v>
      </c>
      <c r="M1" s="43" t="s">
        <v>91</v>
      </c>
      <c r="N1" s="43" t="s">
        <v>103</v>
      </c>
      <c r="O1" s="43" t="s">
        <v>104</v>
      </c>
      <c r="P1" s="43" t="s">
        <v>105</v>
      </c>
      <c r="Q1" s="43" t="s">
        <v>143</v>
      </c>
      <c r="R1" s="43" t="s">
        <v>144</v>
      </c>
      <c r="S1" s="43" t="s">
        <v>99</v>
      </c>
      <c r="T1" s="43" t="s">
        <v>61</v>
      </c>
      <c r="U1" s="43" t="s">
        <v>100</v>
      </c>
      <c r="V1" s="43" t="s">
        <v>101</v>
      </c>
      <c r="W1" s="43" t="s">
        <v>102</v>
      </c>
      <c r="X1" s="43" t="s">
        <v>66</v>
      </c>
      <c r="Y1" s="40"/>
    </row>
    <row r="2" spans="1:25" s="31" customFormat="1" ht="21.75" customHeight="1">
      <c r="A2" s="28"/>
      <c r="B2" s="51" t="s">
        <v>81</v>
      </c>
      <c r="C2" s="51" t="s">
        <v>82</v>
      </c>
      <c r="D2" s="51" t="s">
        <v>85</v>
      </c>
      <c r="E2" s="52">
        <v>42795</v>
      </c>
      <c r="F2" s="52"/>
      <c r="G2" s="52"/>
      <c r="H2" s="51" t="s">
        <v>79</v>
      </c>
      <c r="I2" s="51" t="s">
        <v>86</v>
      </c>
      <c r="J2" s="53">
        <v>6</v>
      </c>
      <c r="K2" s="46" t="s">
        <v>131</v>
      </c>
      <c r="L2" s="30"/>
      <c r="M2" s="28" t="s">
        <v>57</v>
      </c>
      <c r="N2" s="42" t="s">
        <v>167</v>
      </c>
      <c r="O2" s="29" t="s">
        <v>167</v>
      </c>
      <c r="P2" s="29" t="s">
        <v>130</v>
      </c>
      <c r="Q2" s="44" t="s">
        <v>133</v>
      </c>
      <c r="R2" s="45" t="s">
        <v>134</v>
      </c>
      <c r="S2" s="30"/>
      <c r="T2" s="30"/>
      <c r="U2" s="30"/>
      <c r="V2" s="30"/>
      <c r="W2" s="30"/>
      <c r="X2" s="30"/>
    </row>
    <row r="3" spans="1:25" s="31" customFormat="1" ht="52.8">
      <c r="A3" s="28"/>
      <c r="B3" s="28" t="s">
        <v>87</v>
      </c>
      <c r="C3" s="28" t="s">
        <v>114</v>
      </c>
      <c r="D3" s="28" t="s">
        <v>88</v>
      </c>
      <c r="E3" s="29">
        <v>42826</v>
      </c>
      <c r="F3" s="29"/>
      <c r="G3" s="29"/>
      <c r="H3" s="28" t="s">
        <v>79</v>
      </c>
      <c r="I3" s="28" t="s">
        <v>86</v>
      </c>
      <c r="J3" s="49">
        <v>2</v>
      </c>
      <c r="K3" s="46" t="s">
        <v>131</v>
      </c>
      <c r="L3" s="30"/>
      <c r="M3" s="28" t="s">
        <v>57</v>
      </c>
      <c r="N3" s="42" t="s">
        <v>167</v>
      </c>
      <c r="O3" s="29" t="s">
        <v>167</v>
      </c>
      <c r="P3" s="29" t="s">
        <v>130</v>
      </c>
      <c r="Q3" s="44"/>
      <c r="R3" s="45" t="s">
        <v>134</v>
      </c>
      <c r="S3" s="30"/>
      <c r="T3" s="30"/>
      <c r="U3" s="30"/>
      <c r="V3" s="30"/>
      <c r="W3" s="30"/>
      <c r="X3" s="30"/>
    </row>
    <row r="4" spans="1:25" s="31" customFormat="1" ht="26.4">
      <c r="A4" s="28"/>
      <c r="B4" s="51" t="s">
        <v>106</v>
      </c>
      <c r="C4" s="51" t="s">
        <v>115</v>
      </c>
      <c r="D4" s="51" t="s">
        <v>107</v>
      </c>
      <c r="E4" s="52">
        <v>42758</v>
      </c>
      <c r="F4" s="52"/>
      <c r="G4" s="52"/>
      <c r="H4" s="51" t="s">
        <v>79</v>
      </c>
      <c r="I4" s="51" t="s">
        <v>86</v>
      </c>
      <c r="J4" s="53" t="s">
        <v>127</v>
      </c>
      <c r="K4" s="46" t="s">
        <v>131</v>
      </c>
      <c r="L4" s="30"/>
      <c r="M4" s="28" t="s">
        <v>57</v>
      </c>
      <c r="N4" s="42" t="s">
        <v>167</v>
      </c>
      <c r="O4" s="29" t="s">
        <v>167</v>
      </c>
      <c r="P4" s="29" t="s">
        <v>130</v>
      </c>
      <c r="Q4" s="44"/>
      <c r="R4" s="45" t="s">
        <v>134</v>
      </c>
      <c r="S4" s="30"/>
      <c r="T4" s="30"/>
      <c r="U4" s="30"/>
      <c r="V4" s="30"/>
      <c r="W4" s="30"/>
      <c r="X4" s="30"/>
    </row>
    <row r="5" spans="1:25" s="31" customFormat="1">
      <c r="A5" s="28"/>
      <c r="B5" s="51" t="s">
        <v>108</v>
      </c>
      <c r="C5" s="51" t="s">
        <v>116</v>
      </c>
      <c r="D5" s="51" t="s">
        <v>107</v>
      </c>
      <c r="E5" s="52">
        <v>42826</v>
      </c>
      <c r="F5" s="52"/>
      <c r="G5" s="52"/>
      <c r="H5" s="51" t="s">
        <v>79</v>
      </c>
      <c r="I5" s="51" t="s">
        <v>86</v>
      </c>
      <c r="J5" s="53" t="s">
        <v>127</v>
      </c>
      <c r="K5" s="46" t="s">
        <v>131</v>
      </c>
      <c r="L5" s="30"/>
      <c r="M5" s="28" t="s">
        <v>57</v>
      </c>
      <c r="N5" s="42" t="s">
        <v>167</v>
      </c>
      <c r="O5" s="29" t="s">
        <v>167</v>
      </c>
      <c r="P5" s="29" t="s">
        <v>130</v>
      </c>
      <c r="Q5" s="44"/>
      <c r="R5" s="45" t="s">
        <v>134</v>
      </c>
      <c r="S5" s="30"/>
      <c r="T5" s="30"/>
      <c r="U5" s="54"/>
      <c r="V5" s="30"/>
      <c r="W5" s="30"/>
      <c r="X5" s="30"/>
    </row>
    <row r="6" spans="1:25" s="31" customFormat="1" ht="105.6">
      <c r="A6" s="28"/>
      <c r="B6" s="51" t="s">
        <v>109</v>
      </c>
      <c r="C6" s="51" t="s">
        <v>117</v>
      </c>
      <c r="D6" s="51" t="s">
        <v>107</v>
      </c>
      <c r="E6" s="52">
        <v>42836</v>
      </c>
      <c r="F6" s="52"/>
      <c r="G6" s="52"/>
      <c r="H6" s="51" t="s">
        <v>79</v>
      </c>
      <c r="I6" s="51" t="s">
        <v>86</v>
      </c>
      <c r="J6" s="53" t="s">
        <v>128</v>
      </c>
      <c r="K6" s="46" t="s">
        <v>131</v>
      </c>
      <c r="L6" s="30"/>
      <c r="M6" s="28" t="s">
        <v>57</v>
      </c>
      <c r="N6" s="42" t="s">
        <v>167</v>
      </c>
      <c r="O6" s="29" t="s">
        <v>167</v>
      </c>
      <c r="P6" s="29" t="s">
        <v>130</v>
      </c>
      <c r="Q6" s="44"/>
      <c r="R6" s="45" t="s">
        <v>134</v>
      </c>
      <c r="S6" s="30"/>
      <c r="T6" s="30"/>
      <c r="U6" s="30"/>
      <c r="V6" s="30"/>
      <c r="W6" s="30"/>
      <c r="X6" s="30"/>
    </row>
    <row r="7" spans="1:25" s="31" customFormat="1" ht="120">
      <c r="A7" s="28"/>
      <c r="B7" s="28" t="s">
        <v>118</v>
      </c>
      <c r="C7" s="28" t="s">
        <v>90</v>
      </c>
      <c r="D7" s="28" t="s">
        <v>110</v>
      </c>
      <c r="E7" s="29">
        <v>42795</v>
      </c>
      <c r="F7" s="29"/>
      <c r="G7" s="29"/>
      <c r="H7" s="28" t="s">
        <v>79</v>
      </c>
      <c r="I7" s="28" t="s">
        <v>86</v>
      </c>
      <c r="J7" s="49">
        <v>0</v>
      </c>
      <c r="K7" s="46" t="s">
        <v>132</v>
      </c>
      <c r="L7" s="30"/>
      <c r="M7" s="28" t="s">
        <v>57</v>
      </c>
      <c r="N7" s="42" t="s">
        <v>167</v>
      </c>
      <c r="O7" s="29" t="s">
        <v>167</v>
      </c>
      <c r="P7" s="29" t="s">
        <v>130</v>
      </c>
      <c r="Q7" s="44"/>
      <c r="R7" s="45"/>
      <c r="S7" s="30"/>
      <c r="T7" s="30"/>
      <c r="U7" s="67" t="s">
        <v>147</v>
      </c>
      <c r="V7" s="30"/>
      <c r="W7" s="30"/>
      <c r="X7" s="30"/>
    </row>
    <row r="8" spans="1:25" s="31" customFormat="1" ht="120">
      <c r="A8" s="28"/>
      <c r="B8" s="28" t="s">
        <v>119</v>
      </c>
      <c r="C8" s="28" t="s">
        <v>120</v>
      </c>
      <c r="D8" s="28" t="s">
        <v>121</v>
      </c>
      <c r="E8" s="29">
        <v>42892</v>
      </c>
      <c r="F8" s="29"/>
      <c r="G8" s="29"/>
      <c r="H8" s="28" t="s">
        <v>79</v>
      </c>
      <c r="I8" s="28" t="s">
        <v>86</v>
      </c>
      <c r="J8" s="49">
        <v>2</v>
      </c>
      <c r="K8" s="46" t="s">
        <v>131</v>
      </c>
      <c r="L8" s="30"/>
      <c r="M8" s="28" t="s">
        <v>57</v>
      </c>
      <c r="N8" s="42" t="s">
        <v>167</v>
      </c>
      <c r="O8" s="29" t="s">
        <v>167</v>
      </c>
      <c r="P8" s="29" t="s">
        <v>130</v>
      </c>
      <c r="Q8" s="44"/>
      <c r="R8" s="45"/>
      <c r="S8" s="30"/>
      <c r="T8" s="30"/>
      <c r="U8" s="67" t="s">
        <v>147</v>
      </c>
      <c r="V8" s="30" t="s">
        <v>149</v>
      </c>
      <c r="W8" s="30"/>
      <c r="X8" s="30"/>
    </row>
    <row r="9" spans="1:25" s="31" customFormat="1" ht="120">
      <c r="A9" s="28"/>
      <c r="B9" s="28" t="s">
        <v>111</v>
      </c>
      <c r="C9" s="28" t="s">
        <v>122</v>
      </c>
      <c r="D9" s="28" t="s">
        <v>123</v>
      </c>
      <c r="E9" s="29">
        <v>42789</v>
      </c>
      <c r="F9" s="29"/>
      <c r="G9" s="29"/>
      <c r="H9" s="28" t="s">
        <v>79</v>
      </c>
      <c r="I9" s="28" t="s">
        <v>86</v>
      </c>
      <c r="J9" s="49" t="s">
        <v>127</v>
      </c>
      <c r="K9" s="46" t="s">
        <v>131</v>
      </c>
      <c r="L9" s="30"/>
      <c r="M9" s="28" t="s">
        <v>57</v>
      </c>
      <c r="N9" s="42" t="s">
        <v>167</v>
      </c>
      <c r="O9" s="29" t="s">
        <v>167</v>
      </c>
      <c r="P9" s="29" t="s">
        <v>130</v>
      </c>
      <c r="Q9" s="44"/>
      <c r="R9" s="45"/>
      <c r="S9" s="30"/>
      <c r="T9" s="30"/>
      <c r="U9" s="67" t="s">
        <v>147</v>
      </c>
      <c r="V9" s="30" t="s">
        <v>152</v>
      </c>
      <c r="W9" s="30"/>
      <c r="X9" s="30"/>
    </row>
    <row r="10" spans="1:25" s="31" customFormat="1" ht="18" customHeight="1">
      <c r="A10" s="28"/>
      <c r="B10" s="28" t="s">
        <v>112</v>
      </c>
      <c r="C10" s="28" t="s">
        <v>124</v>
      </c>
      <c r="D10" s="28" t="s">
        <v>164</v>
      </c>
      <c r="E10" s="29">
        <v>42900</v>
      </c>
      <c r="F10" s="29"/>
      <c r="G10" s="29"/>
      <c r="H10" s="28" t="s">
        <v>79</v>
      </c>
      <c r="I10" s="28" t="s">
        <v>86</v>
      </c>
      <c r="J10" s="49" t="s">
        <v>129</v>
      </c>
      <c r="K10" s="46" t="s">
        <v>131</v>
      </c>
      <c r="L10" s="30"/>
      <c r="M10" s="28" t="s">
        <v>57</v>
      </c>
      <c r="N10" s="42" t="s">
        <v>167</v>
      </c>
      <c r="O10" s="29" t="s">
        <v>167</v>
      </c>
      <c r="P10" s="29" t="s">
        <v>130</v>
      </c>
      <c r="Q10" s="44"/>
      <c r="R10" s="45"/>
      <c r="S10" s="30"/>
      <c r="T10" s="30"/>
      <c r="U10" s="67" t="s">
        <v>147</v>
      </c>
      <c r="V10" s="30" t="s">
        <v>150</v>
      </c>
      <c r="W10" s="30"/>
      <c r="X10" s="30"/>
    </row>
    <row r="11" spans="1:25" s="31" customFormat="1" ht="120">
      <c r="A11" s="28"/>
      <c r="B11" s="28" t="s">
        <v>113</v>
      </c>
      <c r="C11" s="28" t="s">
        <v>138</v>
      </c>
      <c r="D11" s="28" t="s">
        <v>164</v>
      </c>
      <c r="E11" s="29">
        <v>42900</v>
      </c>
      <c r="F11" s="29"/>
      <c r="G11" s="29"/>
      <c r="H11" s="28" t="s">
        <v>79</v>
      </c>
      <c r="I11" s="28" t="s">
        <v>86</v>
      </c>
      <c r="J11" s="49">
        <v>8</v>
      </c>
      <c r="K11" s="46" t="s">
        <v>132</v>
      </c>
      <c r="L11" s="30"/>
      <c r="M11" s="28" t="s">
        <v>57</v>
      </c>
      <c r="N11" s="42" t="s">
        <v>167</v>
      </c>
      <c r="O11" s="29" t="s">
        <v>167</v>
      </c>
      <c r="P11" s="29" t="s">
        <v>130</v>
      </c>
      <c r="Q11" s="44"/>
      <c r="R11" s="45"/>
      <c r="S11" s="30"/>
      <c r="T11" s="30"/>
      <c r="U11" s="67" t="s">
        <v>147</v>
      </c>
      <c r="V11" s="30" t="s">
        <v>151</v>
      </c>
      <c r="W11" s="30"/>
      <c r="X11" s="30"/>
    </row>
    <row r="12" spans="1:25" s="31" customFormat="1" ht="120">
      <c r="A12" s="28"/>
      <c r="B12" s="28" t="s">
        <v>139</v>
      </c>
      <c r="C12" s="28" t="s">
        <v>125</v>
      </c>
      <c r="D12" s="28" t="s">
        <v>164</v>
      </c>
      <c r="E12" s="29">
        <v>42900</v>
      </c>
      <c r="F12" s="29"/>
      <c r="G12" s="29"/>
      <c r="H12" s="28" t="s">
        <v>79</v>
      </c>
      <c r="I12" s="28" t="s">
        <v>86</v>
      </c>
      <c r="J12" s="49">
        <v>5</v>
      </c>
      <c r="K12" s="46" t="s">
        <v>131</v>
      </c>
      <c r="L12" s="30"/>
      <c r="M12" s="28" t="s">
        <v>57</v>
      </c>
      <c r="N12" s="42" t="s">
        <v>167</v>
      </c>
      <c r="O12" s="29" t="s">
        <v>167</v>
      </c>
      <c r="P12" s="29" t="s">
        <v>130</v>
      </c>
      <c r="Q12" s="44"/>
      <c r="R12" s="45"/>
      <c r="S12" s="30"/>
      <c r="T12" s="30"/>
      <c r="U12" s="67" t="s">
        <v>147</v>
      </c>
      <c r="V12" s="30" t="s">
        <v>153</v>
      </c>
      <c r="W12" s="30"/>
      <c r="X12" s="30"/>
    </row>
    <row r="13" spans="1:25" s="31" customFormat="1" ht="36" customHeight="1">
      <c r="A13" s="28"/>
      <c r="B13" s="28" t="s">
        <v>140</v>
      </c>
      <c r="C13" s="28" t="s">
        <v>126</v>
      </c>
      <c r="D13" s="28" t="s">
        <v>164</v>
      </c>
      <c r="E13" s="29">
        <v>42826</v>
      </c>
      <c r="F13" s="29"/>
      <c r="G13" s="29"/>
      <c r="H13" s="28" t="s">
        <v>79</v>
      </c>
      <c r="I13" s="28" t="s">
        <v>86</v>
      </c>
      <c r="J13" s="49">
        <v>60</v>
      </c>
      <c r="K13" s="46" t="s">
        <v>131</v>
      </c>
      <c r="L13" s="30"/>
      <c r="M13" s="28" t="s">
        <v>57</v>
      </c>
      <c r="N13" s="42" t="s">
        <v>167</v>
      </c>
      <c r="O13" s="29" t="s">
        <v>167</v>
      </c>
      <c r="P13" s="29" t="s">
        <v>130</v>
      </c>
      <c r="Q13" s="44"/>
      <c r="R13" s="45" t="s">
        <v>135</v>
      </c>
      <c r="S13" s="30"/>
      <c r="T13" s="30"/>
      <c r="U13" s="67" t="s">
        <v>147</v>
      </c>
      <c r="V13" s="30" t="s">
        <v>148</v>
      </c>
      <c r="W13" s="30"/>
      <c r="X13" s="30"/>
    </row>
    <row r="14" spans="1:25" ht="33.6" customHeight="1">
      <c r="B14" s="50" t="s">
        <v>136</v>
      </c>
      <c r="C14" s="28" t="s">
        <v>137</v>
      </c>
      <c r="D14" s="56" t="s">
        <v>145</v>
      </c>
      <c r="E14" s="29">
        <v>42905</v>
      </c>
      <c r="G14" s="29">
        <v>42912</v>
      </c>
      <c r="H14" s="66" t="s">
        <v>79</v>
      </c>
      <c r="I14" s="58" t="s">
        <v>146</v>
      </c>
      <c r="J14" s="49">
        <v>7</v>
      </c>
      <c r="K14" s="46" t="s">
        <v>131</v>
      </c>
      <c r="L14" s="30" t="s">
        <v>168</v>
      </c>
      <c r="M14" s="28" t="s">
        <v>57</v>
      </c>
      <c r="N14" s="59" t="s">
        <v>167</v>
      </c>
      <c r="O14" s="29" t="s">
        <v>167</v>
      </c>
      <c r="P14" s="29" t="s">
        <v>130</v>
      </c>
    </row>
    <row r="15" spans="1:25" ht="68.400000000000006" customHeight="1">
      <c r="B15" s="50" t="s">
        <v>154</v>
      </c>
      <c r="C15" s="64" t="s">
        <v>155</v>
      </c>
      <c r="D15" s="56" t="s">
        <v>156</v>
      </c>
      <c r="E15" s="29">
        <v>42795</v>
      </c>
      <c r="G15" s="29">
        <v>42912</v>
      </c>
      <c r="H15" s="66" t="s">
        <v>79</v>
      </c>
      <c r="I15" s="58" t="s">
        <v>86</v>
      </c>
      <c r="J15" s="49">
        <v>45</v>
      </c>
      <c r="K15" s="46" t="s">
        <v>131</v>
      </c>
      <c r="M15" s="28" t="s">
        <v>57</v>
      </c>
      <c r="N15" s="59" t="s">
        <v>167</v>
      </c>
      <c r="O15" s="29" t="s">
        <v>167</v>
      </c>
      <c r="P15" s="29" t="s">
        <v>130</v>
      </c>
    </row>
    <row r="16" spans="1:25" ht="62.25" customHeight="1">
      <c r="B16" s="50" t="s">
        <v>157</v>
      </c>
      <c r="C16" s="50" t="s">
        <v>158</v>
      </c>
      <c r="D16" s="56" t="s">
        <v>164</v>
      </c>
      <c r="E16" s="29">
        <v>42826</v>
      </c>
      <c r="G16" s="29">
        <v>42912</v>
      </c>
      <c r="H16" s="66" t="s">
        <v>79</v>
      </c>
      <c r="I16" s="58" t="s">
        <v>86</v>
      </c>
      <c r="J16" s="49">
        <v>45</v>
      </c>
      <c r="K16" s="46" t="s">
        <v>131</v>
      </c>
      <c r="M16" s="28" t="s">
        <v>57</v>
      </c>
      <c r="N16" s="59" t="s">
        <v>167</v>
      </c>
      <c r="O16" s="29" t="s">
        <v>167</v>
      </c>
      <c r="P16" s="29" t="s">
        <v>130</v>
      </c>
    </row>
    <row r="17" spans="1:26" s="16" customFormat="1" ht="45" customHeight="1">
      <c r="A17" s="55"/>
      <c r="B17" s="50" t="s">
        <v>159</v>
      </c>
      <c r="C17" s="50" t="s">
        <v>166</v>
      </c>
      <c r="D17" s="56" t="s">
        <v>160</v>
      </c>
      <c r="E17" s="29">
        <v>42905</v>
      </c>
      <c r="F17" s="29">
        <v>42947</v>
      </c>
      <c r="G17" s="29">
        <v>42912</v>
      </c>
      <c r="H17" s="66" t="s">
        <v>80</v>
      </c>
      <c r="I17" s="58" t="s">
        <v>86</v>
      </c>
      <c r="J17" s="44" t="s">
        <v>162</v>
      </c>
      <c r="K17" s="46" t="s">
        <v>131</v>
      </c>
      <c r="L17" s="30" t="s">
        <v>169</v>
      </c>
      <c r="M17" s="28" t="s">
        <v>57</v>
      </c>
      <c r="N17" s="59" t="s">
        <v>163</v>
      </c>
      <c r="O17" s="59" t="s">
        <v>163</v>
      </c>
      <c r="P17" s="29" t="s">
        <v>130</v>
      </c>
      <c r="Q17" s="60"/>
      <c r="R17" s="61"/>
      <c r="S17" s="30"/>
      <c r="T17" s="30"/>
      <c r="U17" s="30"/>
      <c r="V17" s="30"/>
      <c r="W17" s="30"/>
      <c r="X17" s="30"/>
      <c r="Y17" s="63"/>
      <c r="Z17" s="63"/>
    </row>
    <row r="18" spans="1:26" s="16" customFormat="1" ht="50.4">
      <c r="A18" s="55"/>
      <c r="B18" s="50" t="s">
        <v>161</v>
      </c>
      <c r="C18" s="50" t="s">
        <v>165</v>
      </c>
      <c r="D18" s="56" t="s">
        <v>160</v>
      </c>
      <c r="E18" s="29">
        <v>42905</v>
      </c>
      <c r="F18" s="29">
        <v>42947</v>
      </c>
      <c r="G18" s="29">
        <v>42912</v>
      </c>
      <c r="H18" s="66" t="s">
        <v>80</v>
      </c>
      <c r="I18" s="58" t="s">
        <v>86</v>
      </c>
      <c r="J18" s="44" t="s">
        <v>162</v>
      </c>
      <c r="K18" s="46" t="s">
        <v>131</v>
      </c>
      <c r="L18" s="30"/>
      <c r="M18" s="28" t="s">
        <v>57</v>
      </c>
      <c r="N18" s="59" t="s">
        <v>163</v>
      </c>
      <c r="O18" s="59" t="s">
        <v>163</v>
      </c>
      <c r="P18" s="29" t="s">
        <v>130</v>
      </c>
      <c r="Q18" s="60"/>
      <c r="R18" s="61"/>
      <c r="S18" s="30"/>
      <c r="T18" s="30"/>
      <c r="U18" s="30"/>
      <c r="V18" s="30"/>
      <c r="W18" s="30"/>
      <c r="X18" s="30"/>
      <c r="Y18" s="63"/>
      <c r="Z18" s="63"/>
    </row>
    <row r="19" spans="1:26">
      <c r="E19" s="29"/>
    </row>
    <row r="20" spans="1:26">
      <c r="E20" s="29"/>
    </row>
    <row r="21" spans="1:26">
      <c r="E21" s="29"/>
    </row>
  </sheetData>
  <autoFilter ref="A1:Z21"/>
  <phoneticPr fontId="2" type="noConversion"/>
  <dataValidations count="8">
    <dataValidation type="list" allowBlank="1" showInputMessage="1" showErrorMessage="1" sqref="S2:S13 Q1:Q1048576 U17:U18 Z17:Z18">
      <formula1>"是,否"</formula1>
    </dataValidation>
    <dataValidation type="list" allowBlank="1" showInputMessage="1" showErrorMessage="1" sqref="X1:X16 X19:X1048576">
      <formula1>"是，否"</formula1>
    </dataValidation>
    <dataValidation type="list" allowBlank="1" showInputMessage="1" showErrorMessage="1" sqref="M14:M1048576">
      <formula1>"正常需求,客户CR,SA问题,解决方案问题,内部安全整改,部件问题"</formula1>
    </dataValidation>
    <dataValidation type="list" allowBlank="1" showInputMessage="1" showErrorMessage="1" sqref="M2:M13">
      <formula1>"正常需求,客户CR,SA问题,解决方案问题,安全需求/问题,部件问题,内部安全整改"</formula1>
    </dataValidation>
    <dataValidation type="list" allowBlank="1" showInputMessage="1" showErrorMessage="1" sqref="P1:P1048576">
      <formula1>"是,否,免"</formula1>
    </dataValidation>
    <dataValidation type="list" allowBlank="1" showInputMessage="1" showErrorMessage="1" sqref="K1:K1048576">
      <formula1>"01 定期审视, 02 接纳|现有版本特性已经满足该需求,02 接纳|组织方案设计, 02 接纳|此前已接纳类似需求，需求单号详见结论意见, 03 退回|需求不清晰，需要提交人补充, 03 退回|不接纳，详见结论意见,03 退回|请提交网上问题流程处理"</formula1>
    </dataValidation>
    <dataValidation type="list" allowBlank="1" showInputMessage="1" showErrorMessage="1" sqref="H1:H13">
      <formula1>需求处理人</formula1>
    </dataValidation>
    <dataValidation type="list" allowBlank="1" showInputMessage="1" showErrorMessage="1" sqref="I1:I1048576">
      <formula1>"功能 Function, 内部优化"</formula1>
    </dataValidation>
  </dataValidations>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[1]常量值!#REF!</xm:f>
          </x14:formula1>
          <xm:sqref>H17:H18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18"/>
  <sheetViews>
    <sheetView workbookViewId="0">
      <selection activeCell="C15" sqref="C15"/>
    </sheetView>
  </sheetViews>
  <sheetFormatPr defaultRowHeight="15"/>
  <cols>
    <col min="1" max="1" width="27.36328125" customWidth="1"/>
    <col min="2" max="2" width="9.453125" style="6" customWidth="1"/>
    <col min="3" max="3" width="5.6328125" style="6" customWidth="1"/>
    <col min="214" max="950" width="67.6328125" bestFit="1" customWidth="1"/>
    <col min="951" max="951" width="4.81640625" customWidth="1"/>
  </cols>
  <sheetData>
    <row r="1" spans="1:3">
      <c r="A1" s="3" t="s">
        <v>62</v>
      </c>
      <c r="B1" s="34">
        <v>42736</v>
      </c>
      <c r="C1"/>
    </row>
    <row r="2" spans="1:3">
      <c r="A2" s="3" t="s">
        <v>56</v>
      </c>
      <c r="B2" s="18" t="s">
        <v>64</v>
      </c>
      <c r="C2"/>
    </row>
    <row r="3" spans="1:3">
      <c r="A3" s="3" t="s">
        <v>91</v>
      </c>
      <c r="B3" s="18" t="s">
        <v>64</v>
      </c>
      <c r="C3"/>
    </row>
    <row r="4" spans="1:3">
      <c r="B4"/>
      <c r="C4"/>
    </row>
    <row r="5" spans="1:3">
      <c r="A5" s="3" t="s">
        <v>65</v>
      </c>
      <c r="B5" s="18" t="s">
        <v>92</v>
      </c>
      <c r="C5" s="18" t="s">
        <v>93</v>
      </c>
    </row>
    <row r="6" spans="1:3">
      <c r="A6" s="4" t="s">
        <v>77</v>
      </c>
      <c r="B6" s="33">
        <v>1.05</v>
      </c>
      <c r="C6" s="36">
        <v>5</v>
      </c>
    </row>
    <row r="7" spans="1:3">
      <c r="A7" s="4" t="s">
        <v>1</v>
      </c>
      <c r="B7" s="33">
        <v>1.05</v>
      </c>
      <c r="C7" s="36">
        <v>5</v>
      </c>
    </row>
    <row r="8" spans="1:3">
      <c r="B8"/>
      <c r="C8"/>
    </row>
    <row r="9" spans="1:3">
      <c r="B9"/>
      <c r="C9"/>
    </row>
    <row r="10" spans="1:3">
      <c r="B10"/>
      <c r="C10"/>
    </row>
    <row r="11" spans="1:3">
      <c r="B11"/>
      <c r="C11"/>
    </row>
    <row r="12" spans="1:3">
      <c r="B12"/>
      <c r="C12"/>
    </row>
    <row r="13" spans="1:3">
      <c r="B13"/>
      <c r="C13"/>
    </row>
    <row r="14" spans="1:3">
      <c r="B14"/>
      <c r="C14"/>
    </row>
    <row r="15" spans="1:3">
      <c r="B15"/>
      <c r="C15"/>
    </row>
    <row r="16" spans="1:3">
      <c r="B16"/>
      <c r="C16"/>
    </row>
    <row r="17" spans="2:3">
      <c r="B17"/>
      <c r="C17"/>
    </row>
    <row r="18" spans="2:3">
      <c r="B18"/>
      <c r="C18"/>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10"/>
  <sheetViews>
    <sheetView zoomScale="85" zoomScaleNormal="85" workbookViewId="0">
      <selection activeCell="B24" sqref="B24"/>
    </sheetView>
  </sheetViews>
  <sheetFormatPr defaultRowHeight="15"/>
  <cols>
    <col min="1" max="1" width="11" style="39" bestFit="1" customWidth="1"/>
    <col min="2" max="2" width="8" style="33" customWidth="1"/>
    <col min="3" max="3" width="6.54296875" customWidth="1"/>
    <col min="4" max="4" width="6.453125" customWidth="1"/>
    <col min="5" max="5" width="8.36328125" customWidth="1"/>
    <col min="6" max="7" width="5.453125" customWidth="1"/>
    <col min="8" max="8" width="9.6328125" customWidth="1"/>
    <col min="9" max="10" width="5.453125" customWidth="1"/>
    <col min="11" max="11" width="6.54296875" customWidth="1"/>
    <col min="12" max="12" width="5.6328125" customWidth="1"/>
    <col min="13" max="13" width="15.36328125" customWidth="1"/>
    <col min="14" max="14" width="5.453125" customWidth="1"/>
    <col min="15" max="15" width="6.453125" customWidth="1"/>
    <col min="16" max="17" width="5.453125" customWidth="1"/>
    <col min="18" max="18" width="8.08984375" customWidth="1"/>
    <col min="19" max="19" width="11.36328125" customWidth="1"/>
    <col min="20" max="20" width="9.453125" customWidth="1"/>
    <col min="21" max="21" width="6.6328125" customWidth="1"/>
    <col min="22" max="22" width="6.453125" customWidth="1"/>
    <col min="23" max="23" width="7.36328125" customWidth="1"/>
    <col min="24" max="24" width="6.36328125" customWidth="1"/>
    <col min="25" max="25" width="6.1796875" customWidth="1"/>
    <col min="26" max="26" width="9.54296875" customWidth="1"/>
    <col min="27" max="27" width="5.453125" customWidth="1"/>
    <col min="28" max="28" width="8.6328125" customWidth="1"/>
    <col min="29" max="29" width="5.54296875" customWidth="1"/>
    <col min="30" max="31" width="5.453125" customWidth="1"/>
    <col min="32" max="32" width="9.6328125" customWidth="1"/>
    <col min="33" max="33" width="5.453125" customWidth="1"/>
    <col min="34" max="34" width="12.1796875" customWidth="1"/>
    <col min="35" max="35" width="9.6328125" customWidth="1"/>
    <col min="36" max="36" width="5.453125" customWidth="1"/>
    <col min="37" max="37" width="7.453125" customWidth="1"/>
    <col min="38" max="70" width="38" bestFit="1" customWidth="1"/>
    <col min="71" max="71" width="19.453125" bestFit="1" customWidth="1"/>
    <col min="72" max="72" width="41.453125" bestFit="1" customWidth="1"/>
    <col min="73" max="74" width="7.81640625" customWidth="1"/>
    <col min="75" max="75" width="12.453125" customWidth="1"/>
    <col min="76" max="76" width="10.1796875" bestFit="1" customWidth="1"/>
    <col min="77" max="77" width="7.81640625" customWidth="1"/>
    <col min="78" max="78" width="7.90625" customWidth="1"/>
    <col min="79" max="79" width="12.6328125" bestFit="1" customWidth="1"/>
    <col min="80" max="80" width="9.1796875" bestFit="1" customWidth="1"/>
    <col min="81" max="81" width="11.54296875" bestFit="1" customWidth="1"/>
    <col min="82" max="82" width="5.81640625" customWidth="1"/>
    <col min="83" max="87" width="7.81640625" customWidth="1"/>
    <col min="88" max="89" width="7.90625" customWidth="1"/>
    <col min="90" max="91" width="7.81640625" customWidth="1"/>
    <col min="92" max="92" width="8.08984375" customWidth="1"/>
    <col min="93" max="93" width="9.81640625" bestFit="1" customWidth="1"/>
    <col min="94" max="96" width="7.81640625" customWidth="1"/>
    <col min="97" max="97" width="12.36328125" bestFit="1" customWidth="1"/>
    <col min="98" max="98" width="18.81640625" bestFit="1" customWidth="1"/>
    <col min="99" max="99" width="21.453125" bestFit="1" customWidth="1"/>
    <col min="100" max="100" width="7.90625" customWidth="1"/>
    <col min="101" max="101" width="9.453125" bestFit="1" customWidth="1"/>
    <col min="102" max="102" width="12.81640625" bestFit="1" customWidth="1"/>
    <col min="103" max="103" width="15.453125" bestFit="1" customWidth="1"/>
    <col min="104" max="104" width="9.08984375" bestFit="1" customWidth="1"/>
    <col min="105" max="108" width="7.81640625" customWidth="1"/>
    <col min="109" max="110" width="7.90625" customWidth="1"/>
    <col min="111" max="111" width="7.81640625" customWidth="1"/>
    <col min="112" max="112" width="5.81640625" customWidth="1"/>
    <col min="113" max="113" width="11.453125" bestFit="1" customWidth="1"/>
    <col min="114" max="114" width="11.81640625" bestFit="1" customWidth="1"/>
    <col min="115" max="116" width="7.81640625" customWidth="1"/>
    <col min="117" max="118" width="7.90625" customWidth="1"/>
    <col min="119" max="120" width="7.81640625" customWidth="1"/>
    <col min="121" max="121" width="14.453125" bestFit="1" customWidth="1"/>
    <col min="122" max="122" width="14.90625" bestFit="1" customWidth="1"/>
    <col min="123" max="123" width="17.453125" bestFit="1" customWidth="1"/>
    <col min="124" max="124" width="7.81640625" customWidth="1"/>
    <col min="125" max="125" width="8.453125" customWidth="1"/>
    <col min="126" max="126" width="5.453125" customWidth="1"/>
    <col min="127" max="131" width="7.81640625" customWidth="1"/>
    <col min="132" max="133" width="7.90625" customWidth="1"/>
    <col min="134" max="134" width="7.1796875" customWidth="1"/>
    <col min="135" max="135" width="11.90625" bestFit="1" customWidth="1"/>
    <col min="136" max="139" width="7.81640625" customWidth="1"/>
    <col min="140" max="141" width="7.90625" customWidth="1"/>
    <col min="142" max="142" width="7.81640625" customWidth="1"/>
    <col min="143" max="143" width="14.54296875" bestFit="1" customWidth="1"/>
    <col min="144" max="144" width="9.453125" bestFit="1" customWidth="1"/>
    <col min="145" max="145" width="12" bestFit="1" customWidth="1"/>
    <col min="146" max="146" width="12.08984375" bestFit="1" customWidth="1"/>
    <col min="147" max="150" width="7.81640625" customWidth="1"/>
    <col min="151" max="152" width="7.90625" customWidth="1"/>
    <col min="153" max="153" width="14.81640625" bestFit="1" customWidth="1"/>
    <col min="154" max="154" width="12.36328125" bestFit="1" customWidth="1"/>
    <col min="155" max="155" width="14.90625" bestFit="1" customWidth="1"/>
    <col min="156" max="156" width="10.1796875" bestFit="1" customWidth="1"/>
    <col min="157" max="157" width="12.6328125" bestFit="1" customWidth="1"/>
    <col min="158" max="158" width="9.81640625" bestFit="1" customWidth="1"/>
    <col min="159" max="159" width="7.81640625" customWidth="1"/>
    <col min="160" max="160" width="12.36328125" bestFit="1" customWidth="1"/>
    <col min="161" max="161" width="11.6328125" bestFit="1" customWidth="1"/>
    <col min="162" max="166" width="7.81640625" customWidth="1"/>
    <col min="167" max="167" width="7.90625" customWidth="1"/>
    <col min="168" max="168" width="7.81640625" customWidth="1"/>
    <col min="169" max="169" width="5.81640625" customWidth="1"/>
    <col min="170" max="170" width="14.453125" bestFit="1" customWidth="1"/>
    <col min="171" max="171" width="12.54296875" bestFit="1" customWidth="1"/>
    <col min="172" max="172" width="7.81640625" customWidth="1"/>
    <col min="173" max="173" width="15.1796875" bestFit="1" customWidth="1"/>
    <col min="174" max="174" width="16.36328125" bestFit="1" customWidth="1"/>
    <col min="175" max="175" width="18.90625" bestFit="1" customWidth="1"/>
    <col min="176" max="176" width="13.36328125" bestFit="1" customWidth="1"/>
    <col min="177" max="178" width="7.81640625" customWidth="1"/>
    <col min="179" max="179" width="7.90625" customWidth="1"/>
    <col min="180" max="180" width="7.81640625" customWidth="1"/>
    <col min="181" max="181" width="16" bestFit="1" customWidth="1"/>
    <col min="182" max="182" width="9.81640625" bestFit="1" customWidth="1"/>
    <col min="183" max="183" width="7.81640625" customWidth="1"/>
    <col min="184" max="184" width="12.36328125" bestFit="1" customWidth="1"/>
    <col min="185" max="185" width="13.36328125" bestFit="1" customWidth="1"/>
    <col min="186" max="187" width="7.81640625" customWidth="1"/>
    <col min="188" max="188" width="16" bestFit="1" customWidth="1"/>
    <col min="189" max="189" width="20.6328125" bestFit="1" customWidth="1"/>
    <col min="190" max="190" width="7.81640625" customWidth="1"/>
    <col min="191" max="192" width="7.90625" customWidth="1"/>
    <col min="193" max="193" width="23.453125" bestFit="1" customWidth="1"/>
    <col min="194" max="194" width="17" bestFit="1" customWidth="1"/>
    <col min="195" max="195" width="19.6328125" bestFit="1" customWidth="1"/>
    <col min="196" max="196" width="13.36328125" bestFit="1" customWidth="1"/>
    <col min="197" max="197" width="16" bestFit="1" customWidth="1"/>
    <col min="198" max="198" width="9.1796875" bestFit="1" customWidth="1"/>
    <col min="199" max="203" width="7.81640625" customWidth="1"/>
    <col min="204" max="204" width="11.54296875" bestFit="1" customWidth="1"/>
    <col min="205" max="205" width="9.1796875" bestFit="1" customWidth="1"/>
    <col min="206" max="209" width="7.81640625" customWidth="1"/>
    <col min="210" max="211" width="7.90625" customWidth="1"/>
    <col min="212" max="213" width="7.81640625" customWidth="1"/>
    <col min="214" max="214" width="11.54296875" bestFit="1" customWidth="1"/>
    <col min="215" max="215" width="9.1796875" bestFit="1" customWidth="1"/>
    <col min="216" max="217" width="7.90625" customWidth="1"/>
    <col min="218" max="221" width="7.81640625" customWidth="1"/>
    <col min="222" max="222" width="11.54296875" bestFit="1" customWidth="1"/>
    <col min="223" max="223" width="9.81640625" bestFit="1" customWidth="1"/>
    <col min="224" max="224" width="7.81640625" customWidth="1"/>
    <col min="225" max="225" width="12.36328125" bestFit="1" customWidth="1"/>
    <col min="226" max="226" width="13.36328125" bestFit="1" customWidth="1"/>
    <col min="227" max="227" width="7.81640625" customWidth="1"/>
    <col min="228" max="228" width="16" bestFit="1" customWidth="1"/>
    <col min="229" max="229" width="11.6328125" bestFit="1" customWidth="1"/>
    <col min="230" max="230" width="14.453125" bestFit="1" customWidth="1"/>
    <col min="231" max="231" width="15.54296875" bestFit="1" customWidth="1"/>
    <col min="232" max="232" width="18.36328125" bestFit="1" customWidth="1"/>
    <col min="233" max="233" width="11.453125" bestFit="1" customWidth="1"/>
    <col min="234" max="235" width="7.90625" customWidth="1"/>
    <col min="236" max="236" width="7.81640625" customWidth="1"/>
    <col min="237" max="237" width="14.08984375" bestFit="1" customWidth="1"/>
    <col min="238" max="238" width="17.453125" bestFit="1" customWidth="1"/>
    <col min="239" max="239" width="20.08984375" bestFit="1" customWidth="1"/>
    <col min="240" max="240" width="20.1796875" bestFit="1" customWidth="1"/>
    <col min="241" max="241" width="22.81640625" bestFit="1" customWidth="1"/>
    <col min="242" max="242" width="14.1796875" bestFit="1" customWidth="1"/>
    <col min="243" max="247" width="7.81640625" customWidth="1"/>
    <col min="248" max="248" width="7.90625" customWidth="1"/>
    <col min="249" max="249" width="16.90625" bestFit="1" customWidth="1"/>
    <col min="250" max="250" width="10" bestFit="1" customWidth="1"/>
    <col min="251" max="254" width="7.81640625" customWidth="1"/>
    <col min="255" max="255" width="12.453125" bestFit="1" customWidth="1"/>
    <col min="256" max="256" width="14.08984375" bestFit="1" customWidth="1"/>
    <col min="257" max="257" width="16.6328125" bestFit="1" customWidth="1"/>
    <col min="258" max="258" width="9.81640625" bestFit="1" customWidth="1"/>
    <col min="259" max="259" width="12.36328125" bestFit="1" customWidth="1"/>
    <col min="260" max="260" width="17" bestFit="1" customWidth="1"/>
    <col min="261" max="265" width="7.81640625" customWidth="1"/>
    <col min="266" max="266" width="7.90625" customWidth="1"/>
    <col min="267" max="267" width="7.81640625" customWidth="1"/>
    <col min="268" max="268" width="5.81640625" customWidth="1"/>
    <col min="269" max="269" width="19.6328125" bestFit="1" customWidth="1"/>
    <col min="270" max="270" width="13.36328125" bestFit="1" customWidth="1"/>
    <col min="271" max="271" width="7.90625" customWidth="1"/>
    <col min="272" max="272" width="16" bestFit="1" customWidth="1"/>
    <col min="273" max="273" width="9.81640625" bestFit="1" customWidth="1"/>
    <col min="274" max="274" width="7.81640625" customWidth="1"/>
    <col min="275" max="275" width="12.36328125" bestFit="1" customWidth="1"/>
    <col min="276" max="276" width="10.453125" bestFit="1" customWidth="1"/>
    <col min="277" max="279" width="7.81640625" customWidth="1"/>
    <col min="280" max="280" width="13" bestFit="1" customWidth="1"/>
    <col min="281" max="281" width="11.453125" bestFit="1" customWidth="1"/>
    <col min="282" max="283" width="7.81640625" customWidth="1"/>
    <col min="284" max="284" width="7.90625" customWidth="1"/>
    <col min="285" max="285" width="14" bestFit="1" customWidth="1"/>
    <col min="286" max="286" width="9.81640625" bestFit="1" customWidth="1"/>
    <col min="287" max="291" width="7.81640625" customWidth="1"/>
    <col min="292" max="292" width="12.36328125" bestFit="1" customWidth="1"/>
    <col min="293" max="293" width="12.81640625" bestFit="1" customWidth="1"/>
    <col min="294" max="295" width="7.81640625" customWidth="1"/>
    <col min="296" max="296" width="7.90625" customWidth="1"/>
    <col min="297" max="297" width="15.453125" bestFit="1" customWidth="1"/>
    <col min="298" max="298" width="11.1796875" bestFit="1" customWidth="1"/>
    <col min="299" max="302" width="7.81640625" customWidth="1"/>
    <col min="303" max="303" width="13.81640625" bestFit="1" customWidth="1"/>
    <col min="304" max="304" width="13.36328125" bestFit="1" customWidth="1"/>
    <col min="305" max="305" width="7.90625" customWidth="1"/>
    <col min="306" max="306" width="16" bestFit="1" customWidth="1"/>
    <col min="307" max="307" width="9.81640625" bestFit="1" customWidth="1"/>
    <col min="308" max="308" width="7.90625" customWidth="1"/>
    <col min="309" max="309" width="12.36328125" bestFit="1" customWidth="1"/>
    <col min="310" max="310" width="13.36328125" bestFit="1" customWidth="1"/>
    <col min="311" max="311" width="16" bestFit="1" customWidth="1"/>
    <col min="312" max="312" width="13.81640625" bestFit="1" customWidth="1"/>
    <col min="313" max="313" width="16.453125" bestFit="1" customWidth="1"/>
    <col min="314" max="314" width="15.1796875" bestFit="1" customWidth="1"/>
    <col min="315" max="318" width="7.81640625" customWidth="1"/>
    <col min="319" max="319" width="17.81640625" bestFit="1" customWidth="1"/>
    <col min="320" max="320" width="17" bestFit="1" customWidth="1"/>
    <col min="321" max="324" width="7.81640625" customWidth="1"/>
    <col min="325" max="325" width="7.90625" customWidth="1"/>
    <col min="326" max="326" width="19.6328125" bestFit="1" customWidth="1"/>
    <col min="327" max="327" width="9.81640625" bestFit="1" customWidth="1"/>
    <col min="328" max="328" width="12.36328125" bestFit="1" customWidth="1"/>
    <col min="329" max="329" width="7.453125" customWidth="1"/>
  </cols>
  <sheetData>
    <row r="1" spans="1:2">
      <c r="A1" s="37" t="s">
        <v>65</v>
      </c>
      <c r="B1" s="33" t="s">
        <v>94</v>
      </c>
    </row>
    <row r="2" spans="1:2">
      <c r="A2" s="35" t="s">
        <v>77</v>
      </c>
      <c r="B2" s="33">
        <v>7.85</v>
      </c>
    </row>
    <row r="3" spans="1:2">
      <c r="A3" s="38">
        <v>42736</v>
      </c>
      <c r="B3" s="33">
        <v>1.05</v>
      </c>
    </row>
    <row r="4" spans="1:2">
      <c r="A4" s="38">
        <v>42767</v>
      </c>
      <c r="B4" s="33">
        <v>2.5</v>
      </c>
    </row>
    <row r="5" spans="1:2">
      <c r="A5" s="38">
        <v>42795</v>
      </c>
      <c r="B5" s="33">
        <v>2</v>
      </c>
    </row>
    <row r="6" spans="1:2">
      <c r="A6" s="38">
        <v>42826</v>
      </c>
      <c r="B6" s="33">
        <v>1.1499999999999999</v>
      </c>
    </row>
    <row r="7" spans="1:2">
      <c r="A7" s="38">
        <v>42856</v>
      </c>
      <c r="B7" s="33">
        <v>1.1499999999999999</v>
      </c>
    </row>
    <row r="8" spans="1:2">
      <c r="A8" s="35" t="s">
        <v>63</v>
      </c>
    </row>
    <row r="9" spans="1:2">
      <c r="A9" s="32" t="s">
        <v>63</v>
      </c>
    </row>
    <row r="10" spans="1:2">
      <c r="A10" s="35" t="s">
        <v>1</v>
      </c>
      <c r="B10" s="33">
        <v>7.85</v>
      </c>
    </row>
  </sheetData>
  <phoneticPr fontId="2" type="noConversion"/>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D21" sqref="D21"/>
    </sheetView>
  </sheetViews>
  <sheetFormatPr defaultColWidth="8.90625" defaultRowHeight="15.6"/>
  <cols>
    <col min="1" max="1" width="16.08984375" style="5" customWidth="1"/>
    <col min="2" max="2" width="21.81640625" style="2" customWidth="1"/>
    <col min="3" max="3" width="11.36328125" style="8" customWidth="1"/>
    <col min="4" max="16384" width="8.90625" style="2"/>
  </cols>
  <sheetData>
    <row r="1" spans="1:8" s="6" customFormat="1" ht="16.5" customHeight="1">
      <c r="A1" s="68" t="s">
        <v>75</v>
      </c>
      <c r="B1" s="69" t="s">
        <v>68</v>
      </c>
      <c r="C1" s="70" t="s">
        <v>76</v>
      </c>
      <c r="D1" s="70"/>
      <c r="E1" s="70"/>
      <c r="F1" s="70"/>
    </row>
    <row r="2" spans="1:8" s="6" customFormat="1" ht="31.2">
      <c r="A2" s="68"/>
      <c r="B2" s="69"/>
      <c r="C2" s="26" t="s">
        <v>69</v>
      </c>
      <c r="D2" s="26" t="s">
        <v>70</v>
      </c>
      <c r="E2" s="26" t="s">
        <v>71</v>
      </c>
      <c r="F2" s="26" t="s">
        <v>72</v>
      </c>
      <c r="H2" s="9"/>
    </row>
    <row r="3" spans="1:8" s="6" customFormat="1" ht="18.75" customHeight="1">
      <c r="A3" s="27" t="s">
        <v>77</v>
      </c>
      <c r="B3" s="10">
        <v>45</v>
      </c>
      <c r="C3" s="11">
        <v>2</v>
      </c>
      <c r="D3" s="11">
        <v>10</v>
      </c>
      <c r="E3" s="11">
        <f>(C3+D3)</f>
        <v>12</v>
      </c>
      <c r="F3" s="12">
        <f>PRODUCT(B3,E3,22)/1000</f>
        <v>11.88</v>
      </c>
    </row>
    <row r="4" spans="1:8" s="6" customFormat="1" ht="18.75" customHeight="1">
      <c r="A4" s="27" t="s">
        <v>78</v>
      </c>
      <c r="B4" s="10">
        <v>45</v>
      </c>
      <c r="C4" s="11">
        <v>2</v>
      </c>
      <c r="D4" s="11">
        <v>3</v>
      </c>
      <c r="E4" s="11">
        <f>(C4+D4)</f>
        <v>5</v>
      </c>
      <c r="F4" s="12">
        <f>PRODUCT(B4,E4,22)/1000</f>
        <v>4.95</v>
      </c>
    </row>
    <row r="5" spans="1:8" s="6" customFormat="1" ht="15">
      <c r="A5" s="13" t="s">
        <v>73</v>
      </c>
      <c r="B5" s="13"/>
      <c r="C5" s="14">
        <f>SUM(C3:C4)</f>
        <v>4</v>
      </c>
      <c r="D5" s="14">
        <f>SUM(D3:D4)</f>
        <v>13</v>
      </c>
      <c r="E5" s="14">
        <f>SUM(E3:E4)</f>
        <v>17</v>
      </c>
      <c r="F5" s="14">
        <f>SUM(F3:F4)</f>
        <v>16.830000000000002</v>
      </c>
    </row>
    <row r="6" spans="1:8" s="15" customFormat="1" ht="15"/>
    <row r="7" spans="1:8" s="15" customFormat="1" ht="1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81640625" defaultRowHeight="15.6"/>
  <cols>
    <col min="1" max="1" width="12.90625" style="16" customWidth="1"/>
    <col min="2" max="2" width="13.90625" style="16" customWidth="1"/>
    <col min="3" max="3" width="22.54296875" style="16" customWidth="1"/>
    <col min="4" max="16384" width="8.81640625" style="16"/>
  </cols>
  <sheetData>
    <row r="1" spans="1:3">
      <c r="A1" s="24" t="s">
        <v>58</v>
      </c>
      <c r="B1" s="24" t="s">
        <v>59</v>
      </c>
      <c r="C1" s="25" t="s">
        <v>60</v>
      </c>
    </row>
    <row r="2" spans="1:3">
      <c r="A2" s="19" t="s">
        <v>83</v>
      </c>
      <c r="B2" s="19" t="s">
        <v>77</v>
      </c>
      <c r="C2" s="21" t="s">
        <v>79</v>
      </c>
    </row>
    <row r="3" spans="1:3">
      <c r="A3" s="19"/>
      <c r="B3" s="19" t="s">
        <v>78</v>
      </c>
      <c r="C3" s="21" t="s">
        <v>80</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Sheet2</vt:lpstr>
      <vt:lpstr>全部RM</vt:lpstr>
      <vt:lpstr>RM统计</vt:lpstr>
      <vt:lpstr>产业月度趋势图</vt:lpstr>
      <vt:lpstr>吞吐量</vt:lpstr>
      <vt:lpstr>常量值</vt:lpstr>
      <vt:lpstr>全部RM!Print_Area</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Qiutao (William)</cp:lastModifiedBy>
  <cp:lastPrinted>2007-03-23T05:43:02Z</cp:lastPrinted>
  <dcterms:created xsi:type="dcterms:W3CDTF">2003-11-11T03:59:45Z</dcterms:created>
  <dcterms:modified xsi:type="dcterms:W3CDTF">2017-06-26T06:43:23Z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(3)jb2BHxncXxouhyLn9gNtrbfXHbV+XYlPo/E/ZsfG6rLkWDQaD18kIMr66bLh/4zzkoZDs+zD
xcv9gsyAWGjjkNy5i44QHUdRCN/qT+kbJ4FUGoW837u+wF66VtEcJXlN7OnLklBzhQ3Ely9f
4dcRPpvrt7DTY8H9XMBbVuDarKT5rCtVYOQzNHC1I8G9412PSoDbnecOchRzBolhPT1m601U
GJMwgoFzmDRZnPvO4D</vt:lpwstr>
  </property>
  <property fmtid="{D5CDD505-2E9C-101B-9397-08002B2CF9AE}" pid="9" name="_2015_ms_pID_7253431">
    <vt:lpwstr>VkJFoeHLdpILwlb1IB+DhcKJHS3S2qNeq6GSXDKQUNg7FPu+KQZF7b
GZmQvpuxUi6ddLOZbxlZ28eSmLL2VvZQI6ADsDorDCltTv3qqQkz5amHwNxY4WgV9VS+J5zJ
Vw8HxEH6yIowKJ3u0vnDh1kNVa6AxTrNa/KFaCJUnp2g7uAj2QI5uAVg3y3LRJh84UzSpL0N
/4pr35n60bZxoT78IeRqp/591xjgh+QiwyXO</vt:lpwstr>
  </property>
  <property fmtid="{D5CDD505-2E9C-101B-9397-08002B2CF9AE}" pid="10" name="_2015_ms_pID_7253432">
    <vt:lpwstr>8XxgS5KynMoI06fFP61/1h3i8bn8oGglS++1
p1GqLJZv/zGebbf9ft5k4NS+1QIz8U1cLTKtvcCr6X5ePrPIerI=</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1497403334</vt:lpwstr>
  </property>
</Properties>
</file>