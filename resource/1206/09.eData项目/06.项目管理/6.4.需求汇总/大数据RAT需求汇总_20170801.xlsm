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D:\svn\eData_CBG\Team\06. 项目管理\01. 需求管理\需求汇总\2017\"/>
    </mc:Choice>
  </mc:AlternateContent>
  <bookViews>
    <workbookView xWindow="0" yWindow="-210" windowWidth="11505" windowHeight="4665" tabRatio="626" firstSheet="1" activeTab="1"/>
  </bookViews>
  <sheets>
    <sheet name="Sheet2" sheetId="160" state="hidden" r:id="rId1"/>
    <sheet name="全部RM" sheetId="165" r:id="rId2"/>
    <sheet name="Sheet1" sheetId="191" state="hidden" r:id="rId3"/>
    <sheet name="Sheet3" sheetId="192" state="hidden" r:id="rId4"/>
    <sheet name="RM统计" sheetId="170" r:id="rId5"/>
    <sheet name="产业月度趋势图" sheetId="174" r:id="rId6"/>
    <sheet name="吞吐量" sheetId="156" r:id="rId7"/>
    <sheet name="常量值" sheetId="190"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s>
  <definedNames>
    <definedName name="_xlnm._FilterDatabase" localSheetId="1" hidden="1">全部RM!$A$1:$AA$29</definedName>
    <definedName name="_IRB1" hidden="1">{"'Sheet1'!$A$1:$Z$85","'Sheet1'!$AB$3"}</definedName>
    <definedName name="a">[1]常量值!$A$2:$A$46</definedName>
    <definedName name="ConclusionSelect">[2]基本信息选择项!$B$2:$B$4</definedName>
    <definedName name="dfafd">[3]常量值!$A$2:$A$30</definedName>
    <definedName name="dfd">[4]常量值!$A$2:$A$46</definedName>
    <definedName name="dfsd">[5]常量值!$D$2:$D$40</definedName>
    <definedName name="HTML_CodePage" hidden="1">950</definedName>
    <definedName name="HTML_Control" hidden="1">{"'Sheet1'!$A$1:$Z$85","'Sheet1'!$AB$3"}</definedName>
    <definedName name="HTML_Description" hidden="1">""</definedName>
    <definedName name="HTML_Email" hidden="1">""</definedName>
    <definedName name="HTML_Header" hidden="1">"Sheet1"</definedName>
    <definedName name="HTML_LastUpdate" hidden="1">"1999/12/11"</definedName>
    <definedName name="HTML_LineAfter" hidden="1">FALSE</definedName>
    <definedName name="HTML_LineBefore" hidden="1">FALSE</definedName>
    <definedName name="HTML_Name" hidden="1">"Lily"</definedName>
    <definedName name="HTML_OBDlg2" hidden="1">TRUE</definedName>
    <definedName name="HTML_OBDlg4" hidden="1">TRUE</definedName>
    <definedName name="HTML_OS" hidden="1">0</definedName>
    <definedName name="HTML_PathFile" hidden="1">"D:\Home Page\mcmug.htm"</definedName>
    <definedName name="HTML_Title" hidden="1">"Mcmug"</definedName>
    <definedName name="iouiu">[6]常量值!$A$2:$A$30</definedName>
    <definedName name="IRB" hidden="1">{"'Sheet1'!$A$1:$Z$85","'Sheet1'!$AB$3"}</definedName>
    <definedName name="mdsp">[7]常量值!$D$2:$D$45</definedName>
    <definedName name="MTN">[8]常量值!$D$2:$D$43</definedName>
    <definedName name="_xlnm.Print_Area" localSheetId="1">全部RM!$A$1:$U$1</definedName>
    <definedName name="s">[9]常量值!$A$2:$A$30</definedName>
    <definedName name="sss">[9]常量值!$C$2:$C$35</definedName>
    <definedName name="W1048377U4890">全部RM!#REF!</definedName>
    <definedName name="zhuxiaoqi">[5]常量值!$C$2:$C$35</definedName>
    <definedName name="啊">[10]常量值!$C$2:$C$24</definedName>
    <definedName name="埃塞">[11]常量值!$D$2:$D$45</definedName>
    <definedName name="部件">常量值!$B$2:$B$18</definedName>
    <definedName name="部件2">[5]常量值!$A$2:$A$30</definedName>
    <definedName name="行首标识">#REF!</definedName>
    <definedName name="行尾标识">#REF!</definedName>
    <definedName name="列尾标识">#REF!</definedName>
    <definedName name="满意度行首">#REF!</definedName>
    <definedName name="满意度行尾">#REF!</definedName>
    <definedName name="模块SE">常量值!#REF!</definedName>
    <definedName name="目标承诺" hidden="1">{"'Sheet1'!$A$1:$Z$85","'Sheet1'!$AB$3"}</definedName>
    <definedName name="无评价需求">#REF!</definedName>
    <definedName name="项目">常量值!$A$2:$A$37</definedName>
    <definedName name="项目1">[12]常量值!$C$2:$C$43</definedName>
    <definedName name="需求处理人">常量值!$C$2:$C$24</definedName>
  </definedNames>
  <calcPr calcId="152511"/>
  <pivotCaches>
    <pivotCache cacheId="0" r:id="rId21"/>
    <pivotCache cacheId="1" r:id="rId22"/>
  </pivotCaches>
</workbook>
</file>

<file path=xl/calcChain.xml><?xml version="1.0" encoding="utf-8"?>
<calcChain xmlns="http://schemas.openxmlformats.org/spreadsheetml/2006/main">
  <c r="D5" i="156" l="1"/>
  <c r="C5" i="156"/>
  <c r="E4" i="156"/>
  <c r="F4" i="156" s="1"/>
  <c r="E3" i="156"/>
  <c r="F3" i="156" s="1"/>
  <c r="F5" i="156" l="1"/>
  <c r="E5" i="156"/>
</calcChain>
</file>

<file path=xl/sharedStrings.xml><?xml version="1.0" encoding="utf-8"?>
<sst xmlns="http://schemas.openxmlformats.org/spreadsheetml/2006/main" count="669" uniqueCount="241">
  <si>
    <t>02 接纳|签单后开发</t>
  </si>
  <si>
    <t>总计</t>
  </si>
  <si>
    <t>交付月份</t>
  </si>
  <si>
    <t>是否剔除基线</t>
  </si>
  <si>
    <t>沙特Mobily NGSDP</t>
  </si>
  <si>
    <t>是Yes</t>
  </si>
  <si>
    <t>核心能力Core Capability</t>
  </si>
  <si>
    <t>liuxiaopeng 00106862</t>
  </si>
  <si>
    <t>综合结论 RMT/RAT's Conclusion</t>
  </si>
  <si>
    <t>是否回落基线*BaseLine Or Not</t>
  </si>
  <si>
    <t>价值特性Value Features</t>
  </si>
  <si>
    <t>Mobily_NGSDP-通过wallet扣费时，余额不足时触发自动充值</t>
  </si>
  <si>
    <t>RAT月份和第几周</t>
  </si>
  <si>
    <t>三月第1周</t>
  </si>
  <si>
    <t>Serial No.</t>
  </si>
  <si>
    <t xml:space="preserve">Req. Title </t>
  </si>
  <si>
    <t>需求描述 Description</t>
  </si>
  <si>
    <t>所属区域 Region</t>
  </si>
  <si>
    <t>希望该需求交付日期 Expected Offering Date</t>
  </si>
  <si>
    <t>当前处理人Current Approvers</t>
  </si>
  <si>
    <t>其他参与人 Other Attenders</t>
  </si>
  <si>
    <t>所属项目名称 *  Project Name</t>
  </si>
  <si>
    <t>需求类型* Type</t>
  </si>
  <si>
    <t xml:space="preserve">
当前处理人的初步分析结论 * Draft Analysis Solution</t>
  </si>
  <si>
    <t>MDSP工作量(K)*
Workload</t>
  </si>
  <si>
    <t>BFM工作量(K)*
Workload</t>
  </si>
  <si>
    <t>IB工作量(K)*
Workload</t>
  </si>
  <si>
    <t>SAG/NAG工作量(K)*
Workload</t>
  </si>
  <si>
    <t>DLSC/Streaming/DRM工作量(K)*
Workload</t>
  </si>
  <si>
    <t>PortalOne工作量(K)*
Workload</t>
  </si>
  <si>
    <t>iMOST/Promotion工作量(K)*
Workload</t>
  </si>
  <si>
    <t>DNA工作量(K)*
Workload</t>
  </si>
  <si>
    <t>SEE工作量(K)*
Workload</t>
  </si>
  <si>
    <t>Report工作量(K)*
Workload</t>
  </si>
  <si>
    <t>其他工作量(K)*
Workload</t>
  </si>
  <si>
    <t>总工作量(K) Total Workload</t>
  </si>
  <si>
    <t>交付时间点 Offering Date（YYYY-MM-DD）*</t>
  </si>
  <si>
    <t>解决方案版本号 Solution Version</t>
  </si>
  <si>
    <t>MDSP版本号 Version</t>
  </si>
  <si>
    <t>SAG/NAG版本号Version</t>
  </si>
  <si>
    <t>DLSC/Streaming/DRM版本号Version</t>
  </si>
  <si>
    <t>PortalOne版本号Version</t>
  </si>
  <si>
    <t>iMOST/Promotion版本号Version</t>
  </si>
  <si>
    <t>DNA版本号Version</t>
  </si>
  <si>
    <t>SEE版本号Version</t>
  </si>
  <si>
    <t>Report版本号Version</t>
  </si>
  <si>
    <t>其他版本号Version</t>
  </si>
  <si>
    <t>价格 Price</t>
  </si>
  <si>
    <t>销售模式 Sale Mode</t>
  </si>
  <si>
    <t xml:space="preserve">会议结论 Meeting Conclusion </t>
  </si>
  <si>
    <t>Please follow the instruction showed as below to fill in this attribute._x000D_
_x000D_
【The description of the customer’s business issue】:_x000D_
OTT业务都通过payment hub的wallet扣费；大量用户wallet余额不足，导致业务续订扣费失败。_x000D_
_x000D_
【The description of the customer’s demand on the product/solution（requirement scenario ）】:_x000D_
用户设置默认充值方式；在扣费请求在余额不足时，允许系统自动通过默认充值方式自动充值并完成扣费。_x000D_
_x000D_
_x000D_
【The gap description of Huawei’s current product/solution （what features should be needed）】:_x000D_
payment hub需要做逻辑编排，扣费请求发生时，当客户侧wallet返回余额不足，完成自动充值、重新完成扣费并返回给扣费请求发起方。_x000D_
_x000D_
_x000D_
_x000D_
【 The influencing analysis of not accepting this requirement （ requirement value）】:_x000D_
当初因为一些历史原因，huawei没有提供wallet存钱功能，于是客户侧自行开发了wallet功能。现在我们希望能割接客户的wallet。_x000D_
实际上，NGSDP 客户也有强烈诉求将IT wallet割接到NGSDP内部，但还涉及客户内部部门沟通，暂时无法承诺割接时间。_x000D_
_x000D_
目前客户侧wallet接口也只开放给NGSDP，且只有扣费、充值、余额查询功能，且也不关注充值的钱的来源，仅类似DB增删查功能。_x000D_
我们如果不做，客户侧会自行想办法做的话，他们逻辑越做越多，后面更加无法割接。_x000D_
_x000D_
_x000D_
【The offering release which used in the current network 、 dimension、the upgrade plan】:_x000D_
_x000D_
【The former people discussed with】:_x000D_
liuxiaopeng，yangchun_x000D_
_x000D_
【Contact man of this requirement】:_x000D_
yangfuping_x000D_
_x000D_
【 Current status of the sale project （project general info/ emergency  degree）】:</t>
  </si>
  <si>
    <t>Middle East and Northern Africa Regional Division|Middle East Sub-Regional Division, ME&amp;NA|Saudi Arabia Rep Office, ME&amp;NA</t>
  </si>
  <si>
    <t>卢志敏</t>
  </si>
  <si>
    <t>PaymentHUb需要做这个需求，
该需求主要分为:
  &lt;1&gt; 所有Wallet的扣费，通过PaymentHUb的入口进行扣费.
  &lt;2&gt; 用户设置默认的充值方式.(PortalOne: 2K)
  &lt;3&gt; 余额不足时，按照默认的充值方式进行充值后再扣费.
备注:  按照以后NGSDP的存量经营规划，想去替换客户的Wallet,但是目前IT部门没搞定wallet部门.
需求难点:
   Wallet不是Huawei部件， 领导已有答复，该需求要求一线根据特性报价， 不能按照定制报价, 基线和项目都需要做PaymentHUb的账户管理.</t>
  </si>
  <si>
    <t>接纳，基线C20</t>
  </si>
  <si>
    <t>备注</t>
    <phoneticPr fontId="2" type="noConversion"/>
  </si>
  <si>
    <t>正常需求</t>
  </si>
  <si>
    <t>项目名称</t>
    <phoneticPr fontId="2" type="noConversion"/>
  </si>
  <si>
    <t>部件</t>
    <phoneticPr fontId="2" type="noConversion"/>
  </si>
  <si>
    <t>需求处理人</t>
    <phoneticPr fontId="2" type="noConversion"/>
  </si>
  <si>
    <t>决策点</t>
    <phoneticPr fontId="2" type="noConversion"/>
  </si>
  <si>
    <t>(空白)</t>
  </si>
  <si>
    <t>行标签</t>
  </si>
  <si>
    <t>是否CR</t>
  </si>
  <si>
    <t>期望交付时间</t>
    <phoneticPr fontId="2" type="noConversion"/>
  </si>
  <si>
    <r>
      <t>E2E</t>
    </r>
    <r>
      <rPr>
        <b/>
        <sz val="11"/>
        <color rgb="FF000000"/>
        <rFont val="Cambria"/>
        <family val="3"/>
        <charset val="134"/>
        <scheme val="major"/>
      </rPr>
      <t>生产率(行/人天)</t>
    </r>
    <phoneticPr fontId="2" type="noConversion"/>
  </si>
  <si>
    <t>自有</t>
    <phoneticPr fontId="2" type="noConversion"/>
  </si>
  <si>
    <t>合作</t>
    <phoneticPr fontId="2" type="noConversion"/>
  </si>
  <si>
    <t>总人力</t>
    <phoneticPr fontId="2" type="noConversion"/>
  </si>
  <si>
    <t>吞吐量（K）</t>
    <phoneticPr fontId="2" type="noConversion"/>
  </si>
  <si>
    <t>总计</t>
    <phoneticPr fontId="2" type="noConversion"/>
  </si>
  <si>
    <t>TALM编号</t>
  </si>
  <si>
    <t>产业</t>
  </si>
  <si>
    <t>人力</t>
  </si>
  <si>
    <t>游戏</t>
  </si>
  <si>
    <t>视频</t>
  </si>
  <si>
    <t>邱涛 00255622</t>
  </si>
  <si>
    <t>瞿成兵 00381064</t>
  </si>
  <si>
    <t>与游戏版本配套：游戏全量话单备份</t>
  </si>
  <si>
    <t>游戏全量话单备份到易数报表入库阶段二需求--启动、登录、鉴权和注册话单</t>
  </si>
  <si>
    <t>All</t>
  </si>
  <si>
    <t>需求提交人</t>
  </si>
  <si>
    <t>程卫明 00160921</t>
  </si>
  <si>
    <t>功能 Function</t>
  </si>
  <si>
    <t>运营趋势中的提示说明</t>
  </si>
  <si>
    <t>杨涛 00210370</t>
  </si>
  <si>
    <t>需求提交时间</t>
  </si>
  <si>
    <t>渠道子渠道活动分析-阶段2，详细需求程卫明</t>
  </si>
  <si>
    <t>需求类型（细化）</t>
  </si>
  <si>
    <r>
      <t>需求标题</t>
    </r>
    <r>
      <rPr>
        <b/>
        <sz val="12"/>
        <color rgb="FFFF0000"/>
        <rFont val="Arial"/>
        <family val="2"/>
      </rPr>
      <t>*</t>
    </r>
  </si>
  <si>
    <r>
      <t>需求描述</t>
    </r>
    <r>
      <rPr>
        <b/>
        <sz val="12"/>
        <color rgb="FFFF0000"/>
        <rFont val="Arial"/>
        <family val="2"/>
      </rPr>
      <t>*</t>
    </r>
  </si>
  <si>
    <r>
      <t>需求处理人(按模板格式填写)</t>
    </r>
    <r>
      <rPr>
        <b/>
        <sz val="12"/>
        <color rgb="FFFF0000"/>
        <rFont val="Arial"/>
        <family val="2"/>
      </rPr>
      <t>*</t>
    </r>
  </si>
  <si>
    <r>
      <t>需求类型</t>
    </r>
    <r>
      <rPr>
        <b/>
        <sz val="12"/>
        <color rgb="FFFF0000"/>
        <rFont val="Arial"/>
        <family val="2"/>
      </rPr>
      <t>*</t>
    </r>
  </si>
  <si>
    <r>
      <t>是否需要决策</t>
    </r>
    <r>
      <rPr>
        <b/>
        <sz val="12"/>
        <color rgb="FFFF0000"/>
        <rFont val="Arial"/>
        <family val="2"/>
      </rPr>
      <t>*</t>
    </r>
  </si>
  <si>
    <r>
      <t>SVN配置库方案URL</t>
    </r>
    <r>
      <rPr>
        <b/>
        <sz val="12"/>
        <color rgb="FFFF0000"/>
        <rFont val="Arial"/>
        <family val="2"/>
      </rPr>
      <t>*</t>
    </r>
  </si>
  <si>
    <r>
      <t>章节</t>
    </r>
    <r>
      <rPr>
        <b/>
        <sz val="12"/>
        <color rgb="FFFF0000"/>
        <rFont val="Arial"/>
        <family val="2"/>
      </rPr>
      <t>*</t>
    </r>
  </si>
  <si>
    <r>
      <t>需求价值说明</t>
    </r>
    <r>
      <rPr>
        <b/>
        <sz val="12"/>
        <color rgb="FFFF0000"/>
        <rFont val="Arial"/>
        <family val="2"/>
      </rPr>
      <t>*</t>
    </r>
  </si>
  <si>
    <t>数据源具备时间</t>
  </si>
  <si>
    <t>数据接口确定时间</t>
  </si>
  <si>
    <t>One Data迁移满足度</t>
  </si>
  <si>
    <t>后台--&gt;3月份与游戏关联需求-Charging话单格式变更</t>
  </si>
  <si>
    <t>李文要 00266388</t>
  </si>
  <si>
    <t>客户端消息栏push</t>
  </si>
  <si>
    <t>收租机制优化需求涉及易数对支付话单新增rentTime字段与使用</t>
  </si>
  <si>
    <t>时秋兰 00343530</t>
  </si>
  <si>
    <t>收入分析增加"合作渠道流水"、订阅存量流水统计项</t>
  </si>
  <si>
    <t>汇率精度提高</t>
  </si>
  <si>
    <t>会员推广增加本币数据显示</t>
  </si>
  <si>
    <t>涉及页面：EDC-&gt;运营趋势
4月底完成添加：从当前时间起48小时内数据为过程数据，会涉及变化，仅供参考(The data during last 48 hours is still in process, it is just for reference only, please notice.)</t>
  </si>
  <si>
    <t>Charging话单格式变更-与游戏关联需求</t>
  </si>
  <si>
    <t>客户端消息栏push功能要求：话单新增入库字段IMEI</t>
  </si>
  <si>
    <t>后台-&gt;支付话单新增RentTime字段与使用
timeStamp是原来的收入时间统计字段，凡是统计收入的地方都应该用到；
新增的rentTime字段是用在补上一个周期话单的场景，例如连续成功运营商没有通知，此时需要游戏侧补写一个成功话单，补写这个话单只能等到周期结束，这样timeStamp就记成当前周期了，所以需要新增这个字段，把该话单统计为上个周期的收入。
这个字段只在运营商收租的项目使用，游戏侧收租该字段是空的，所以要兼容使用timeStamp字段。</t>
  </si>
  <si>
    <t>渠道子渠道活动分析-阶段2</t>
  </si>
  <si>
    <t>科威特各项目的时区变更</t>
  </si>
  <si>
    <t>修改项目配置信息：科威特VIVA(1003842),科威特Ooredoo(1004165), 科威特ZAIN(2000102)时区信息由UTC +4 修改为UTC +3，已结算数据不需要重新统计。</t>
  </si>
  <si>
    <t>李强 00176134</t>
  </si>
  <si>
    <t>涉及页面：EDP-&gt;付费分析-&gt;收入分析
ALL项下近日数据、趋势分析、详细信息中，名称修改：会员收入--&gt;会员总流水，PPD收入--&gt;PPD流水，IAP收入--&gt;PPD流水，总收入 --&gt; 总流水；在会员总流水后面新增"合作渠道流水"、“订阅存量流水”统计项；删除“充值金额 ”、"真实货币付费"、"虚拟币付费"统计项</t>
  </si>
  <si>
    <t>田俊杰 twx345064</t>
  </si>
  <si>
    <t>【问题：汇率精度】
伊拉克项目反映报表中的换算美元/人民币的汇率存在较大误差。
经查，报表系统在入库时，获取对应inTouch汇率源（源数据格式为小数点后18位）后仅保留小数点后6位。而本币对美元 在万分之1下的，相关的国家包括伊朗和印尼。
报表采用的小数点后6位，会在伊朗项目产生最大3.3%的误差，印尼项目1.5%的收入误差。
【诉求】
提高汇率换算精度，要求在Portal统计、结算数据的计算中，要求完全采用inTouch汇率源的数据作为汇率。
20170531：韩正晶：目前的代码实现是不支持自动配置扩展到18位精度的。如果提高汇率精度要落需求版本</t>
  </si>
  <si>
    <t>原功能因性能屏蔽，需要重新验证性能后提供</t>
  </si>
  <si>
    <t>涉及页面：EDC-&gt;运营趋势
采用inTouch统一风格
CP账号只能查询CP相关数据，非CP账号只能查询其授权项目的相关数据
新增货币切换；
新增筛选条件：CP合作伙伴（可多选）、应用（可多选）、运营市场（可多选）、推广渠道（可多选）
新增应用详情分组：是否按运营市场，是否按推广渠道
统计项变化：
不变： 合作伙伴
不变： 应用ID
不变： 应用名称
新增： 运营市场
新增： 推广渠道
修改： 下载次数（原为：下载量）
新增： 下载用户数（下载话单中统计DEVICEID作为用户，如果DEVICEID为空则采用USERID）；目前单游戏趋势下的“下载用户数”的统计有问题，统一修改为（下载话单中统计DEVICEID作为用户，如果DEVICEID为空则采用USERID）
不变： 会员有效下载量
新增： 成功下载次数
新增： 成功下载用户数
不变： 累计用户
不变： 新增用户
不变： 活跃用户
不变： 启动次数
新增： 启动用户数
不变： 总流水（元）
不变： 合作渠道流水（元）----详情中删除
不变： 订阅流水（元）
不变： PPD流水（元）
不变： IAP流水（元）
新增： 付费次数
新增： IAP付费次数
新增： PPD付费次数
不变： 付费用户数
新增： IAP付费户数
新增： PPD付费户数
新增： 次日留存用户数
新增： 3日留存用户数
新增： 4日留存用户数
新增： 5日留存用户数
新增： 6日留存用户数
新增： 7日留存用户数
新增： 14日留存用户数
新增： 30日留存用户数
新增： 60日留存用户数</t>
  </si>
  <si>
    <t>6</t>
  </si>
  <si>
    <t>4</t>
  </si>
  <si>
    <t>2</t>
  </si>
  <si>
    <t>免</t>
  </si>
  <si>
    <t>02 接纳|组织方案设计</t>
  </si>
  <si>
    <t>03 退回|需求不清晰，需要提交人补充</t>
  </si>
  <si>
    <t>是</t>
  </si>
  <si>
    <t>201706H1</t>
  </si>
  <si>
    <t>2017H2</t>
  </si>
  <si>
    <t>DM模块监控</t>
  </si>
  <si>
    <t>使用Monitor对DM进行监控，要求DM在进程丢失和僵死时，自动拉起，避免用户访问错误</t>
  </si>
  <si>
    <r>
      <rPr>
        <sz val="10"/>
        <color theme="1"/>
        <rFont val="宋体"/>
        <family val="3"/>
        <charset val="134"/>
      </rPr>
      <t>渠道会员推广活动分析增加本币指标</t>
    </r>
    <r>
      <rPr>
        <sz val="10"/>
        <color theme="1"/>
        <rFont val="Arial"/>
        <family val="2"/>
      </rPr>
      <t xml:space="preserve"> "</t>
    </r>
    <r>
      <rPr>
        <sz val="10"/>
        <color theme="1"/>
        <rFont val="宋体"/>
        <family val="3"/>
        <charset val="134"/>
      </rPr>
      <t>涉及页面：</t>
    </r>
    <r>
      <rPr>
        <sz val="10"/>
        <color theme="1"/>
        <rFont val="Arial"/>
        <family val="2"/>
      </rPr>
      <t>EDP-&gt;</t>
    </r>
    <r>
      <rPr>
        <sz val="10"/>
        <color theme="1"/>
        <rFont val="宋体"/>
        <family val="3"/>
        <charset val="134"/>
      </rPr>
      <t>渠道会员推广活动分析
新增本币流水：会员总流水（本币）、合作渠道流水（本币）、订阅流水（本币）</t>
    </r>
    <r>
      <rPr>
        <sz val="10"/>
        <color theme="1"/>
        <rFont val="Arial"/>
        <family val="2"/>
      </rPr>
      <t>"</t>
    </r>
  </si>
  <si>
    <r>
      <rPr>
        <sz val="10"/>
        <color theme="1"/>
        <rFont val="宋体"/>
        <family val="3"/>
        <charset val="134"/>
      </rPr>
      <t>会员推广活动分析中，详情</t>
    </r>
    <r>
      <rPr>
        <sz val="10"/>
        <color theme="1"/>
        <rFont val="Arial"/>
        <family val="2"/>
      </rPr>
      <t>31</t>
    </r>
    <r>
      <rPr>
        <sz val="10"/>
        <color theme="1"/>
        <rFont val="宋体"/>
        <family val="3"/>
        <charset val="134"/>
      </rPr>
      <t>天批量导出恢复</t>
    </r>
  </si>
  <si>
    <r>
      <t>EDC-&gt;</t>
    </r>
    <r>
      <rPr>
        <sz val="10"/>
        <color theme="1"/>
        <rFont val="宋体"/>
        <family val="3"/>
        <charset val="134"/>
      </rPr>
      <t>运营趋势改版</t>
    </r>
    <r>
      <rPr>
        <sz val="10"/>
        <color theme="1"/>
        <rFont val="Arial"/>
        <family val="2"/>
      </rPr>
      <t>&amp;</t>
    </r>
    <r>
      <rPr>
        <sz val="10"/>
        <color theme="1"/>
        <rFont val="宋体"/>
        <family val="3"/>
        <charset val="134"/>
      </rPr>
      <t>交互优化</t>
    </r>
  </si>
  <si>
    <r>
      <rPr>
        <b/>
        <sz val="12"/>
        <rFont val="宋体"/>
        <family val="3"/>
        <charset val="134"/>
      </rPr>
      <t>工作量</t>
    </r>
    <r>
      <rPr>
        <b/>
        <sz val="12"/>
        <rFont val="Arial"/>
        <family val="2"/>
      </rPr>
      <t>(</t>
    </r>
    <r>
      <rPr>
        <b/>
        <sz val="12"/>
        <rFont val="宋体"/>
        <family val="3"/>
        <charset val="134"/>
      </rPr>
      <t>人天</t>
    </r>
    <r>
      <rPr>
        <b/>
        <sz val="12"/>
        <rFont val="Arial"/>
        <family val="2"/>
      </rPr>
      <t>)</t>
    </r>
    <r>
      <rPr>
        <b/>
        <sz val="12"/>
        <color rgb="FFFF0000"/>
        <rFont val="Arial"/>
        <family val="2"/>
      </rPr>
      <t>*</t>
    </r>
  </si>
  <si>
    <r>
      <t>RAT</t>
    </r>
    <r>
      <rPr>
        <b/>
        <sz val="12"/>
        <rFont val="宋体"/>
        <family val="3"/>
        <charset val="134"/>
      </rPr>
      <t>结论</t>
    </r>
  </si>
  <si>
    <r>
      <rPr>
        <b/>
        <sz val="12"/>
        <rFont val="宋体"/>
        <family val="3"/>
        <charset val="134"/>
      </rPr>
      <t>是否满足开发入口条件</t>
    </r>
    <r>
      <rPr>
        <b/>
        <sz val="12"/>
        <color rgb="FF0000FF"/>
        <rFont val="Arial"/>
        <family val="2"/>
      </rPr>
      <t xml:space="preserve"> </t>
    </r>
  </si>
  <si>
    <r>
      <t>AHB</t>
    </r>
    <r>
      <rPr>
        <b/>
        <sz val="12"/>
        <rFont val="宋体"/>
        <family val="3"/>
        <charset val="134"/>
      </rPr>
      <t>计划安排</t>
    </r>
  </si>
  <si>
    <t>韩正晶 00275561</t>
  </si>
  <si>
    <t>内部优化</t>
  </si>
  <si>
    <t>https://dggsvn06-ex:3690/svn/AS_WAD_SVN/trunk/eData-CBG/DOC/游戏产业报表/Trunk/02.需求与方案管理/2.3.部件规格/201706/游戏产业报表设计规格说明书.doc</t>
  </si>
  <si>
    <t>4.1</t>
  </si>
  <si>
    <t>4.2</t>
  </si>
  <si>
    <t>4.3</t>
  </si>
  <si>
    <t>4.4</t>
  </si>
  <si>
    <t>4.5</t>
  </si>
  <si>
    <t>4.6</t>
  </si>
  <si>
    <t>联合营销改版与新增统计项</t>
  </si>
  <si>
    <t xml:space="preserve">涉及页面：EDC-&gt;联合营销
采用inTouch统一风格
指标内容同 渠道子渠道活动分析-阶段1和阶段2的指标
CP账号只能查询CP相关数据，非CP账号只能查询其授权项目的相关数据
</t>
  </si>
  <si>
    <t>李金玲 00285350</t>
  </si>
  <si>
    <t>精品包改版</t>
  </si>
  <si>
    <t>涉及页面：EDC-&gt;精品包
采用inTouch统一风格
CP账号只能查询CP相关数据，非CP账号只能查询其授权项目的相关数据</t>
  </si>
  <si>
    <r>
      <rPr>
        <sz val="10"/>
        <color theme="1"/>
        <rFont val="宋体"/>
        <family val="3"/>
        <charset val="134"/>
      </rPr>
      <t>用户活跃表能区分不同类型终端（</t>
    </r>
    <r>
      <rPr>
        <sz val="10"/>
        <color theme="1"/>
        <rFont val="Arial"/>
        <family val="2"/>
      </rPr>
      <t>Android/iOS/WebTV)</t>
    </r>
    <phoneticPr fontId="2" type="noConversion"/>
  </si>
  <si>
    <t>范建波</t>
    <phoneticPr fontId="2" type="noConversion"/>
  </si>
  <si>
    <r>
      <rPr>
        <sz val="10"/>
        <color theme="1"/>
        <rFont val="宋体"/>
        <family val="3"/>
        <charset val="134"/>
      </rPr>
      <t>【区分不同客户端的需求】订购用户能区分不同客户端的数据（</t>
    </r>
    <r>
      <rPr>
        <sz val="10"/>
        <color theme="1"/>
        <rFont val="Arial"/>
        <family val="2"/>
      </rPr>
      <t>Android/iOS/WebTV)</t>
    </r>
    <phoneticPr fontId="2" type="noConversion"/>
  </si>
  <si>
    <t>22</t>
    <phoneticPr fontId="2" type="noConversion"/>
  </si>
  <si>
    <t>OK</t>
    <phoneticPr fontId="2" type="noConversion"/>
  </si>
  <si>
    <t>马开峰 00341915</t>
  </si>
  <si>
    <r>
      <t>【区分不同客户端的需求】订购用户能区分不同客户端的数据（</t>
    </r>
    <r>
      <rPr>
        <sz val="10"/>
        <color theme="1"/>
        <rFont val="Arial"/>
        <family val="2"/>
      </rPr>
      <t xml:space="preserve">Android/iOS/WebTV)
</t>
    </r>
    <r>
      <rPr>
        <sz val="10"/>
        <color theme="1"/>
        <rFont val="宋体"/>
        <family val="3"/>
        <charset val="134"/>
      </rPr>
      <t>说明：需要统计应用内订购的数量，报表包括日、周、月报表，能区分不同的客户端。</t>
    </r>
  </si>
  <si>
    <r>
      <t>需求：统计报表能区分不同的客户端的活跃用户数、注册用户活跃数。</t>
    </r>
    <r>
      <rPr>
        <sz val="10"/>
        <color theme="1"/>
        <rFont val="Arial"/>
        <family val="2"/>
      </rPr>
      <t xml:space="preserve"> </t>
    </r>
    <r>
      <rPr>
        <sz val="10"/>
        <color theme="1"/>
        <rFont val="宋体"/>
        <family val="3"/>
        <charset val="134"/>
      </rPr>
      <t>（分别统计呈现</t>
    </r>
    <r>
      <rPr>
        <sz val="10"/>
        <color theme="1"/>
        <rFont val="Arial"/>
        <family val="2"/>
      </rPr>
      <t>WEBTV</t>
    </r>
    <r>
      <rPr>
        <sz val="10"/>
        <color theme="1"/>
        <rFont val="宋体"/>
        <family val="3"/>
        <charset val="134"/>
      </rPr>
      <t>的日活数据，</t>
    </r>
    <r>
      <rPr>
        <sz val="10"/>
        <color theme="1"/>
        <rFont val="Arial"/>
        <family val="2"/>
      </rPr>
      <t>APP</t>
    </r>
    <r>
      <rPr>
        <sz val="10"/>
        <color theme="1"/>
        <rFont val="宋体"/>
        <family val="3"/>
        <charset val="134"/>
      </rPr>
      <t>的日活数据；以及同时用了</t>
    </r>
    <r>
      <rPr>
        <sz val="10"/>
        <color theme="1"/>
        <rFont val="Arial"/>
        <family val="2"/>
      </rPr>
      <t>WEBTV</t>
    </r>
    <r>
      <rPr>
        <sz val="10"/>
        <color theme="1"/>
        <rFont val="宋体"/>
        <family val="3"/>
        <charset val="134"/>
      </rPr>
      <t>和</t>
    </r>
    <r>
      <rPr>
        <sz val="10"/>
        <color theme="1"/>
        <rFont val="Arial"/>
        <family val="2"/>
      </rPr>
      <t>APP</t>
    </r>
    <r>
      <rPr>
        <sz val="10"/>
        <color theme="1"/>
        <rFont val="宋体"/>
        <family val="3"/>
        <charset val="134"/>
      </rPr>
      <t>的日活用户数）</t>
    </r>
  </si>
  <si>
    <t>OK</t>
  </si>
  <si>
    <t>优先使用CBG类似方案</t>
  </si>
  <si>
    <t>AHB前重新审视方案</t>
  </si>
  <si>
    <t>RAT上会时间</t>
  </si>
  <si>
    <t>游戏报表改版页面的国际化特性</t>
  </si>
  <si>
    <t>edc改版需求中，高保真不支持国际化，需在框架上补齐国际化能力</t>
  </si>
  <si>
    <t>曹洁生 00265108</t>
  </si>
  <si>
    <t>否</t>
  </si>
  <si>
    <t>报表自动化测试预研</t>
  </si>
  <si>
    <t>自动化测试环境搭建，包含话单生成，BDI流程，一个自动化测试用例验证</t>
  </si>
  <si>
    <t>devOps</t>
  </si>
  <si>
    <t>构建DevOps环境及工程</t>
  </si>
  <si>
    <t>结算文件接口中填充支付渠道信息</t>
  </si>
  <si>
    <t>程卫民 00160921</t>
  </si>
  <si>
    <t>功能Function</t>
  </si>
  <si>
    <t>待定</t>
  </si>
  <si>
    <t>https://dggsvn06-ex:3690/svn/AS_WAD_SVN/trunk/eData-CBG/DOC/游戏产业报表/Trunk/02.需求与方案管理/2.3.部件规格/201707/游戏产业报表设计规格说明书.doc</t>
  </si>
  <si>
    <t>3.1</t>
  </si>
  <si>
    <t>Edata_new/易数日表统计V2处理优化</t>
  </si>
  <si>
    <t xml:space="preserve">由6.23日起，易数日表统计V2变得异常缓慢，多个指标无法正常输出。
分析原因，因为开启了外表关联加载到内存，而HBASE表较大，加载内存速度非常慢。三个最大数据量不超1000条的关联，在系统中结算完成需要30多分钟。
FI建议修改HADOOP参数hive.auto.convert.join=false禁止在关联时加载外部表。
</t>
  </si>
  <si>
    <t>3.2</t>
  </si>
  <si>
    <t>自有品牌运营-EDP-新增区域运营-收入流水</t>
  </si>
  <si>
    <t>因为新增品牌运营涉及一个项目对应多个国家或地区，收入流水要求分计费渠道呈现，同时在收入合计方面也会有所不同（多个国家的货币单位可能不同），新增加区域运营目录，在此目录下增加区域运营报表，此需求在区域运营的目录下增加收入流水的统计页面。</t>
  </si>
  <si>
    <t>3.3</t>
  </si>
  <si>
    <t>EDC 运营趋势界面优化</t>
  </si>
  <si>
    <t xml:space="preserve">主要说明：详情中新增可选的按支付渠道分组选择
详情指标：当选择按支付渠道分组时，只能呈现以下指标：货币类型 会员有效下载量 总流水 合作渠道流水 订阅流水 IAP流水 PPD流水 付费次数 IAP付费次数 PPD付费次数 付费用户数 IAP付费用户数 PPD付费用户数。
</t>
  </si>
  <si>
    <t>3.4</t>
  </si>
  <si>
    <t>易数平台数据传输任务切换</t>
  </si>
  <si>
    <t xml:space="preserve">关于数据支撑组在Intouch上使用数据传输服务的用途：
借助数据传输服务功能将一线反馈的批量号码导入到中间表中，用户匹配投诉用户的各项活跃、订购、退订记录，以及扣费记录，提供一线进行投诉处理。
目前数据传输服务即将下线，请开发给予相应的支撑，在BDI上做个自动执行任务，该任务支持我们随时上传批量号码，随时入库的要求（因为一线提供号码的时间很随性）
</t>
  </si>
  <si>
    <t>田俊杰 WX345064</t>
  </si>
  <si>
    <t>3.5</t>
  </si>
  <si>
    <t>随着区域项目的上线，分成数据要求依据计费渠道进行拆分，原结算数据中虽然填写了计费渠道信息，但是此信息填写为All，不具备分成能力，要求填充实际值。
同时，对于会员有效下载数的统计，要求使用订购时的计费渠道，而不是当时计费渠道。因此在下载，鉴权，支付话单中增加vipchargechannelID字段，有效下载数分计费渠道的统计规则发生变化。金额还是依据原chargeChannelID进行分组。</t>
  </si>
  <si>
    <r>
      <rPr>
        <sz val="10"/>
        <color theme="1"/>
        <rFont val="宋体"/>
        <family val="3"/>
        <charset val="134"/>
      </rPr>
      <t>内部优化（</t>
    </r>
    <r>
      <rPr>
        <sz val="10"/>
        <color theme="1"/>
        <rFont val="Arial"/>
        <family val="2"/>
      </rPr>
      <t>BDI</t>
    </r>
    <r>
      <rPr>
        <sz val="10"/>
        <color theme="1"/>
        <rFont val="宋体"/>
        <family val="3"/>
        <charset val="134"/>
      </rPr>
      <t>）</t>
    </r>
    <phoneticPr fontId="2" type="noConversion"/>
  </si>
  <si>
    <t>瞿成兵</t>
    <phoneticPr fontId="2" type="noConversion"/>
  </si>
  <si>
    <t>22</t>
  </si>
  <si>
    <t>统计不同客户端的留存用户</t>
    <phoneticPr fontId="2" type="noConversion"/>
  </si>
  <si>
    <r>
      <t>1</t>
    </r>
    <r>
      <rPr>
        <sz val="10"/>
        <rFont val="宋体"/>
        <family val="3"/>
        <charset val="134"/>
      </rPr>
      <t xml:space="preserve">、前段时间由于业务侧话单不严格按照接口文档，存在各种异常字段，导致报表数据异常：
</t>
    </r>
    <r>
      <rPr>
        <sz val="10"/>
        <rFont val="Arial"/>
        <family val="2"/>
      </rPr>
      <t>1</t>
    </r>
    <r>
      <rPr>
        <sz val="10"/>
        <rFont val="宋体"/>
        <family val="3"/>
        <charset val="134"/>
      </rPr>
      <t>）</t>
    </r>
    <r>
      <rPr>
        <sz val="10"/>
        <rFont val="Arial"/>
        <family val="2"/>
      </rPr>
      <t xml:space="preserve"> </t>
    </r>
    <r>
      <rPr>
        <sz val="10"/>
        <rFont val="宋体"/>
        <family val="3"/>
        <charset val="134"/>
      </rPr>
      <t>扩容字段中缺少；标志，导致前后</t>
    </r>
    <r>
      <rPr>
        <sz val="10"/>
        <rFont val="Arial"/>
        <family val="2"/>
      </rPr>
      <t>2</t>
    </r>
    <r>
      <rPr>
        <sz val="10"/>
        <rFont val="宋体"/>
        <family val="3"/>
        <charset val="134"/>
      </rPr>
      <t xml:space="preserve">个字段窜接
</t>
    </r>
    <r>
      <rPr>
        <sz val="10"/>
        <rFont val="Arial"/>
        <family val="2"/>
      </rPr>
      <t>2</t>
    </r>
    <r>
      <rPr>
        <sz val="10"/>
        <rFont val="宋体"/>
        <family val="3"/>
        <charset val="134"/>
      </rPr>
      <t>）</t>
    </r>
    <r>
      <rPr>
        <sz val="10"/>
        <rFont val="Arial"/>
        <family val="2"/>
      </rPr>
      <t xml:space="preserve"> </t>
    </r>
    <r>
      <rPr>
        <sz val="10"/>
        <rFont val="宋体"/>
        <family val="3"/>
        <charset val="134"/>
      </rPr>
      <t xml:space="preserve">本因为正数值的字段，携带非数字（字母、负号等）；
</t>
    </r>
    <r>
      <rPr>
        <sz val="10"/>
        <rFont val="Arial"/>
        <family val="2"/>
      </rPr>
      <t>3</t>
    </r>
    <r>
      <rPr>
        <sz val="10"/>
        <rFont val="宋体"/>
        <family val="3"/>
        <charset val="134"/>
      </rPr>
      <t>）</t>
    </r>
    <r>
      <rPr>
        <sz val="10"/>
        <rFont val="Arial"/>
        <family val="2"/>
      </rPr>
      <t xml:space="preserve"> </t>
    </r>
    <r>
      <rPr>
        <sz val="10"/>
        <rFont val="宋体"/>
        <family val="3"/>
        <charset val="134"/>
      </rPr>
      <t xml:space="preserve">必填字段为空；
</t>
    </r>
    <r>
      <rPr>
        <sz val="10"/>
        <rFont val="Arial"/>
        <family val="2"/>
      </rPr>
      <t>4</t>
    </r>
    <r>
      <rPr>
        <sz val="10"/>
        <rFont val="宋体"/>
        <family val="3"/>
        <charset val="134"/>
      </rPr>
      <t>）</t>
    </r>
    <r>
      <rPr>
        <sz val="10"/>
        <rFont val="Arial"/>
        <family val="2"/>
      </rPr>
      <t xml:space="preserve"> SDK</t>
    </r>
    <r>
      <rPr>
        <sz val="10"/>
        <rFont val="宋体"/>
        <family val="3"/>
        <charset val="134"/>
      </rPr>
      <t>上报事件话单，时间字段范围太大，导致</t>
    </r>
    <r>
      <rPr>
        <sz val="10"/>
        <rFont val="Arial"/>
        <family val="2"/>
      </rPr>
      <t>hive</t>
    </r>
    <r>
      <rPr>
        <sz val="10"/>
        <rFont val="宋体"/>
        <family val="3"/>
        <charset val="134"/>
      </rPr>
      <t xml:space="preserve">碎片严重；
</t>
    </r>
    <r>
      <rPr>
        <sz val="10"/>
        <rFont val="Arial"/>
        <family val="2"/>
      </rPr>
      <t>2</t>
    </r>
    <r>
      <rPr>
        <sz val="10"/>
        <rFont val="宋体"/>
        <family val="3"/>
        <charset val="134"/>
      </rPr>
      <t>、</t>
    </r>
    <r>
      <rPr>
        <sz val="10"/>
        <rFont val="Arial"/>
        <family val="2"/>
      </rPr>
      <t>BDI</t>
    </r>
    <r>
      <rPr>
        <sz val="10"/>
        <rFont val="宋体"/>
        <family val="3"/>
        <charset val="134"/>
      </rPr>
      <t xml:space="preserve">当前采集话单都是串行，入库效率低
</t>
    </r>
    <phoneticPr fontId="2" type="noConversion"/>
  </si>
  <si>
    <t xml:space="preserve">【统计不同版本客户端的数量】了解客户端版本分布情况，决定是否强制升级客户端
说明：根据不用的客户端，分别统计版本号分布情况。
</t>
    <phoneticPr fontId="2" type="noConversion"/>
  </si>
  <si>
    <t>【统计不同客户端的留存用户】 分母为当天新增的活跃用户数，分子是第二天还留存的用户 （第二天通过Android登录的用户留存；以及第二天通过WebTV登录的用户留存）。</t>
    <phoneticPr fontId="2" type="noConversion"/>
  </si>
  <si>
    <t>统计不同版本客户端的数量</t>
    <phoneticPr fontId="2" type="noConversion"/>
  </si>
  <si>
    <t>计数项:产业</t>
  </si>
  <si>
    <t>需求类型*</t>
  </si>
  <si>
    <t>工作量(人天)*</t>
  </si>
  <si>
    <t>RAT结论</t>
  </si>
  <si>
    <t>备注</t>
  </si>
  <si>
    <t xml:space="preserve">是否满足开发入口条件 </t>
  </si>
  <si>
    <t>AHB计划安排</t>
  </si>
  <si>
    <t>内部优化（支持时区带小数的项目接入）</t>
    <phoneticPr fontId="2" type="noConversion"/>
  </si>
  <si>
    <r>
      <rPr>
        <sz val="10"/>
        <rFont val="宋体"/>
        <family val="3"/>
        <charset val="134"/>
      </rPr>
      <t>缅甸</t>
    </r>
    <r>
      <rPr>
        <sz val="10"/>
        <rFont val="Arial"/>
        <family val="2"/>
      </rPr>
      <t>Video cloud</t>
    </r>
    <r>
      <rPr>
        <sz val="10"/>
        <rFont val="宋体"/>
        <family val="3"/>
        <charset val="134"/>
      </rPr>
      <t>接入易数，其对应的时区为</t>
    </r>
    <r>
      <rPr>
        <sz val="10"/>
        <rFont val="Arial"/>
        <family val="2"/>
      </rPr>
      <t xml:space="preserve"> </t>
    </r>
    <r>
      <rPr>
        <sz val="10"/>
        <rFont val="宋体"/>
        <family val="3"/>
        <charset val="134"/>
      </rPr>
      <t>：</t>
    </r>
    <r>
      <rPr>
        <sz val="10"/>
        <rFont val="Arial"/>
        <family val="2"/>
      </rPr>
      <t>UTC +6.5</t>
    </r>
    <r>
      <rPr>
        <sz val="10"/>
        <rFont val="宋体"/>
        <family val="3"/>
        <charset val="134"/>
      </rPr>
      <t>；</t>
    </r>
    <r>
      <rPr>
        <sz val="10"/>
        <rFont val="Arial"/>
        <family val="2"/>
      </rPr>
      <t xml:space="preserve"> </t>
    </r>
    <r>
      <rPr>
        <sz val="10"/>
        <rFont val="宋体"/>
        <family val="3"/>
        <charset val="134"/>
      </rPr>
      <t>易数在分配项目时报错，不支持时区带小数</t>
    </r>
    <phoneticPr fontId="2" type="noConversion"/>
  </si>
  <si>
    <t>自有品牌运营-EDP-修改合作管理</t>
  </si>
  <si>
    <t>自有品牌运营-EDP-修改付费分析-扣费统计</t>
  </si>
  <si>
    <t>自有品牌运营-EDP-新增区域运营-会员联营</t>
  </si>
  <si>
    <t xml:space="preserve">新增页面：EDP-&gt;区域运营-&gt;会员联营
主要说明：会员推广分析报表保留，基于会员推广活动统计增加支付渠道维度，同时在分组详情涉及支付渠道维度时，不统计前4个指标：号码获取率 订购点击次数 订购成功数 订购转化率
筛选条件：支付渠道 货币类型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免费期会员数 宽限期会员数 正式期会员数 7日留存会员数 7日留存率 7日留存率（7日均值） 应收租会员数 成功收租会员数 会员总流水 合作渠道流水 订阅流水 非新增活跃会员数 非新增会员活跃率 新增活跃会员数 新增会员活跃率
分组选择：组合1（推广渠道+子渠道ID+活动名称+合作伙伴）；组合2（推广渠道+合作伙伴+支付渠道）
详情分组：推广渠道 子渠道ID 活动名称 合作伙伴 支付渠道
</t>
  </si>
  <si>
    <t>EDC-&gt;联合营销分析</t>
  </si>
  <si>
    <t xml:space="preserve">修改页面：EDC-&gt;联合营销分析
主要说明：基于联合营销统计增加支付渠道维度，同时在分组详情涉及支付渠道维度时，不统计前4个指标；需要明确固定分组组合，以便后台预制数据
筛选条件：货币类型 合作伙伴 运营市场 支付渠道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会员总流水 合作渠道流水 订阅流水 非新增活跃会员数 非新增会员活跃率 新增活跃会员数 新增会员活跃率
分组选择：组合1（合作伙伴+运营市场+推广渠道）；组合2（合作伙伴+运营市场+推广渠道+子渠道ID+活动名称）；组合3（合作伙伴+运营市场+推广渠道+支付渠道）
详情分组：合作伙伴 运营市场 推广渠道 子渠道ID 活动名称 支付渠道
</t>
  </si>
  <si>
    <t>https://szxsvn06-ex:3690/svn/AS_WAD_SVN/trunk/eData-CBG/DOC/游戏产业报表/Trunk/02.需求与方案管理/2.3.部件规格/201707/游戏产业报表设计规格说明书_7月下半月.doc</t>
  </si>
  <si>
    <r>
      <rPr>
        <sz val="10"/>
        <rFont val="宋体"/>
        <family val="3"/>
        <charset val="134"/>
      </rPr>
      <t>马开峰</t>
    </r>
    <r>
      <rPr>
        <sz val="10"/>
        <rFont val="Arial"/>
        <family val="2"/>
      </rPr>
      <t xml:space="preserve"> 00341915</t>
    </r>
    <phoneticPr fontId="2" type="noConversion"/>
  </si>
  <si>
    <r>
      <rPr>
        <sz val="10"/>
        <color theme="1"/>
        <rFont val="宋体"/>
        <family val="3"/>
        <charset val="134"/>
      </rPr>
      <t>内部优化（</t>
    </r>
    <r>
      <rPr>
        <sz val="10"/>
        <color theme="1"/>
        <rFont val="Arial"/>
        <family val="2"/>
      </rPr>
      <t>BDI</t>
    </r>
    <r>
      <rPr>
        <sz val="10"/>
        <color theme="1"/>
        <rFont val="宋体"/>
        <family val="3"/>
        <charset val="134"/>
      </rPr>
      <t>支持结算自定义时间段）</t>
    </r>
    <phoneticPr fontId="2" type="noConversion"/>
  </si>
  <si>
    <t>修改页面：EDP-&gt;合作管理
主要说明：增加货币类型；增加可选的支付渠道分组选择，当选择按支付渠道分组，不统计前4个用户指标；项目总流水名称改为支付渠道总流水
筛选条件：支付渠道、货币类型
详情指标：支付渠道 合作伙伴 合作伙伴ID 下载量 启动次数 新增用户 活跃用户 CP会员有效下载 会员总有效下载 CP有效下载占比 货币类型 支付渠道总流水 CP预计总流水 合作渠道流水 订阅存量流水 PPD流水 IAP流水</t>
  </si>
  <si>
    <t>修改页面：EDP-&gt;付费分析-&gt;扣费统计
主要说明：新增按支付渠道维度统计，将失败原因详情转移至主界面下方
筛选条件：支付渠道
详情指标：支付渠道 套餐模式 套餐类型 付费金额 计费请求次数 计费成功次数 计费成功率 计费收入 
失败原因：支付渠道 套餐模式 套餐类型 错误类型 失败次数 失败占比</t>
  </si>
  <si>
    <r>
      <rPr>
        <sz val="10"/>
        <rFont val="宋体"/>
        <family val="3"/>
        <charset val="134"/>
      </rPr>
      <t>视频产业，近期的问题</t>
    </r>
    <r>
      <rPr>
        <sz val="10"/>
        <rFont val="Arial"/>
        <family val="2"/>
      </rPr>
      <t>89—90%</t>
    </r>
    <r>
      <rPr>
        <sz val="10"/>
        <rFont val="宋体"/>
        <family val="3"/>
        <charset val="134"/>
      </rPr>
      <t>都是话单源的问题；
业务侧后续补充话单源后，经常需要易数人工恢复某一段时间的指标；每次恢复数据，都要人工</t>
    </r>
    <r>
      <rPr>
        <sz val="10"/>
        <rFont val="Arial"/>
        <family val="2"/>
      </rPr>
      <t>copy</t>
    </r>
    <r>
      <rPr>
        <sz val="10"/>
        <rFont val="宋体"/>
        <family val="3"/>
        <charset val="134"/>
      </rPr>
      <t>一段结算任务流，修改每个子任务的命令执行时间；
如要恢复</t>
    </r>
    <r>
      <rPr>
        <sz val="10"/>
        <rFont val="Arial"/>
        <family val="2"/>
      </rPr>
      <t>7</t>
    </r>
    <r>
      <rPr>
        <sz val="10"/>
        <rFont val="宋体"/>
        <family val="3"/>
        <charset val="134"/>
      </rPr>
      <t>月</t>
    </r>
    <r>
      <rPr>
        <sz val="10"/>
        <rFont val="Arial"/>
        <family val="2"/>
      </rPr>
      <t>1—5</t>
    </r>
    <r>
      <rPr>
        <sz val="10"/>
        <rFont val="宋体"/>
        <family val="3"/>
        <charset val="134"/>
      </rPr>
      <t>号的数据，则要添加</t>
    </r>
    <r>
      <rPr>
        <sz val="10"/>
        <rFont val="Arial"/>
        <family val="2"/>
      </rPr>
      <t xml:space="preserve"> -s 20170630000000  -e 20170706000000</t>
    </r>
    <r>
      <rPr>
        <sz val="10"/>
        <rFont val="宋体"/>
        <family val="3"/>
        <charset val="134"/>
      </rPr>
      <t xml:space="preserve">；
由于子任务较多，很耗时耗力，且容易人工犯错；
</t>
    </r>
    <r>
      <rPr>
        <sz val="10"/>
        <rFont val="Arial"/>
        <family val="2"/>
      </rPr>
      <t xml:space="preserve"> </t>
    </r>
    <r>
      <rPr>
        <sz val="10"/>
        <rFont val="宋体"/>
        <family val="3"/>
        <charset val="134"/>
      </rPr>
      <t>特需要优化此流程，提高效率</t>
    </r>
  </si>
  <si>
    <t>01 定期审视</t>
  </si>
  <si>
    <t>待明确方案</t>
  </si>
  <si>
    <t>现网问题合入</t>
  </si>
  <si>
    <t>包括：
1. 数传递给BFM的cptotalfee结算文件中，数据不一致问题    -- 算法错误
2. 04在易数提供给游戏侧的账单单里面，记录都是0，但是在易数的页面上有收入 -- 页面实现错误
3. EDC界面订阅流水，全是负数 -- 性能优化，选择不加载大表到内存
4. EDC运营趋势应用详情部分合作伙伴查询不到详情数据 -- 性能优化，索引创建
5. EDP会员推广活动页面6月29和6月30没有数据 -- 性能优化，SQL优化</t>
  </si>
  <si>
    <t>部件问题</t>
  </si>
  <si>
    <t>叶琴</t>
    <phoneticPr fontId="2" type="noConversion"/>
  </si>
  <si>
    <t>2B业务结果数据接入大数据</t>
    <phoneticPr fontId="2" type="noConversion"/>
  </si>
  <si>
    <r>
      <t>2B</t>
    </r>
    <r>
      <rPr>
        <sz val="10"/>
        <rFont val="宋体"/>
        <family val="3"/>
        <charset val="134"/>
      </rPr>
      <t>的数据在财经视野已经拉通，需要补充运营视野的用户、流水数据，在大数据平台接入易数结果数据，在业务概览页面汇总展示；</t>
    </r>
    <phoneticPr fontId="2" type="noConversion"/>
  </si>
  <si>
    <t>30</t>
    <phoneticPr fontId="2" type="noConversion"/>
  </si>
  <si>
    <t>EDC-&gt;精品包迁移改版</t>
  </si>
  <si>
    <t>涉及页面：EDC-&gt;精品包（新做页面）
采用统一新交互风格
CP账号只能查询CP相关数据，非CP账号只能查询其授权项目的相关数据</t>
  </si>
  <si>
    <t>https://dggsvn06-ex:3690/svn/AS_WAD_SVN/trunk/eData-CBG/DOC/游戏产业报表/Trunk/02.需求与方案管理/2.3.部件规格/201708/游戏产业报表设计规格说明书(8月份) .docx</t>
  </si>
  <si>
    <t>H5游戏会员需求-会员用户</t>
  </si>
  <si>
    <t>涉及页面：EDP-&gt;用户趋势-&gt;会员用户(替换原版本)
主要说明：会员用户分析基础上，在KJAVA/ANDROID之后新增H5产品类型（productType=4：H5游戏会员）统计，并计入ALL    ALL得重新结算 ??          1，调整布局 2，增加H5  3，H5页面怎么样展示
筛选条件：订购渠道（本来就有的 ，现在只是调整布局？）
趋势指标：订购点击次数 订购成功数量 总会员数 合作渠道会员数 订阅存量会员数 新增会员数 退订会员数 免费期会员数 宽限期会员数 付费会员数 活跃会员数 访问Portal会员人数 访问Portal会员次数 会员登录人数 会员登录次数
详情分组：同ALL</t>
  </si>
  <si>
    <t>H5游戏会员需求-收入分析</t>
  </si>
  <si>
    <t>涉及页面：EDP-&gt;付费分析-&gt;收入分析（在改版的页面上修改，即自由品牌运营-收入流水页面上修改  ？？？）
主要说明：在收入分析(收入流水？)基础上，在产品类型KJAVA/ANDROID之后新增H5（productType=4：H5游戏会员）统计  ，KJAVA/ANDROID放哪个位置？  ALL也要重新结算？
筛选条件：订购渠道
趋势指标：会员收入 下载收入 合作渠道会员数 订阅存量会员数（其他指标不要了？）
详情分组：同ANDROID</t>
  </si>
  <si>
    <t>1. 伊朗会员推广活动新增会员数与新订购会员退订数相加后数量仍与订购成功数不符,因为中间表遗漏了某些渠道下的部分用户，导致新增会员数和新订购会员数统计出的结果比实际小.
2. 会员退订分析导出没有日期
EDP/用户趋势/会员退订分析中批量导出文件中增加时间维度</t>
  </si>
  <si>
    <t>补录07H2,08H1版本中的指标自动化测试用例</t>
  </si>
  <si>
    <t>2017--07-31</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</si>
</sst>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 #,##0.00_-;\-* #,##0.00_-;_-* &quot;-&quot;??_-;_-@_-"/>
    <numFmt numFmtId="165" formatCode="0.00;[Red]0.00"/>
    <numFmt numFmtId="166" formatCode="[$-409]mmm/yy;@"/>
    <numFmt numFmtId="167" formatCode="0.00_);[Red]\(0.00\)"/>
    <numFmt numFmtId="168" formatCode="0.0_);[Red]\(0.0\)"/>
    <numFmt numFmtId="169" formatCode="0_);[Red]\(0\)"/>
    <numFmt numFmtId="170" formatCode="yyyy\-mm\-dd"/>
    <numFmt numFmtId="171" formatCode="yyyy\-mm"/>
    <numFmt numFmtId="172" formatCode="0_ "/>
  </numFmts>
  <fonts count="25">
    <font>
      <sz val="12"/>
      <name val="FrutigerNext LT Regular"/>
      <family val="2"/>
    </font>
    <font>
      <sz val="12"/>
      <name val="宋体"/>
      <family val="3"/>
      <charset val="134"/>
    </font>
    <font>
      <sz val="9"/>
      <name val="宋体"/>
      <family val="3"/>
      <charset val="134"/>
    </font>
    <font>
      <sz val="12"/>
      <name val="Times New Roman"/>
      <family val="1"/>
    </font>
    <font>
      <sz val="10"/>
      <name val="Arial"/>
      <family val="2"/>
    </font>
    <font>
      <sz val="12"/>
      <name val="標楷體"/>
      <family val="4"/>
    </font>
    <font>
      <sz val="11"/>
      <color theme="1"/>
      <name val="Calibri"/>
      <family val="3"/>
      <charset val="134"/>
      <scheme val="minor"/>
    </font>
    <font>
      <sz val="12"/>
      <name val="宋体"/>
      <family val="3"/>
      <charset val="134"/>
    </font>
    <font>
      <sz val="11"/>
      <color rgb="FF333333"/>
      <name val="宋体"/>
      <family val="3"/>
      <charset val="134"/>
    </font>
    <font>
      <b/>
      <sz val="10"/>
      <name val="微软雅黑"/>
      <family val="2"/>
      <charset val="134"/>
    </font>
    <font>
      <b/>
      <sz val="11"/>
      <color rgb="FF000000"/>
      <name val="Cambria"/>
      <family val="3"/>
      <charset val="134"/>
      <scheme val="major"/>
    </font>
    <font>
      <sz val="15"/>
      <color rgb="FFFF0000"/>
      <name val="Calibri"/>
      <family val="2"/>
    </font>
    <font>
      <sz val="11"/>
      <color rgb="FF000000"/>
      <name val="宋体"/>
      <family val="3"/>
      <charset val="134"/>
    </font>
    <font>
      <u/>
      <sz val="12"/>
      <color theme="10"/>
      <name val="FrutigerNext LT Regular"/>
      <family val="2"/>
    </font>
    <font>
      <sz val="10.5"/>
      <name val="Calibri"/>
      <family val="2"/>
    </font>
    <font>
      <b/>
      <sz val="11"/>
      <color rgb="FF333333"/>
      <name val="宋体"/>
      <family val="3"/>
      <charset val="134"/>
    </font>
    <font>
      <sz val="10"/>
      <color theme="1"/>
      <name val="Arial"/>
      <family val="2"/>
    </font>
    <font>
      <b/>
      <sz val="12"/>
      <name val="Arial"/>
      <family val="2"/>
    </font>
    <font>
      <b/>
      <sz val="12"/>
      <color rgb="FFFF0000"/>
      <name val="Arial"/>
      <family val="2"/>
    </font>
    <font>
      <b/>
      <sz val="12"/>
      <color rgb="FF0000FF"/>
      <name val="Arial"/>
      <family val="2"/>
    </font>
    <font>
      <b/>
      <sz val="12"/>
      <name val="宋体"/>
      <family val="3"/>
      <charset val="134"/>
    </font>
    <font>
      <sz val="10"/>
      <color theme="1"/>
      <name val="宋体"/>
      <family val="3"/>
      <charset val="134"/>
    </font>
    <font>
      <sz val="10"/>
      <color theme="9" tint="-0.499984740745262"/>
      <name val="Arial"/>
      <family val="2"/>
    </font>
    <font>
      <u/>
      <sz val="10"/>
      <color theme="10"/>
      <name val="Arial"/>
      <family val="2"/>
    </font>
    <font>
      <sz val="10"/>
      <name val="宋体"/>
      <family val="3"/>
      <charset val="134"/>
    </font>
  </fonts>
  <fills count="12">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FFF99"/>
        <bgColor indexed="64"/>
      </patternFill>
    </fill>
    <fill>
      <patternFill patternType="solid">
        <fgColor rgb="FF66FFFF"/>
        <bgColor indexed="64"/>
      </patternFill>
    </fill>
    <fill>
      <patternFill patternType="solid">
        <fgColor theme="6" tint="0.59996337778862885"/>
        <bgColor indexed="64"/>
      </patternFill>
    </fill>
    <fill>
      <patternFill patternType="solid">
        <fgColor theme="8" tint="0.39997558519241921"/>
        <bgColor indexed="64"/>
      </patternFill>
    </fill>
  </fills>
  <borders count="14">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24">
    <xf numFmtId="166" fontId="0" fillId="0" borderId="0">
      <alignment vertical="center"/>
    </xf>
    <xf numFmtId="166" fontId="3" fillId="0" borderId="0"/>
    <xf numFmtId="166" fontId="1" fillId="0" borderId="0"/>
    <xf numFmtId="166" fontId="3" fillId="0" borderId="0"/>
    <xf numFmtId="166" fontId="5" fillId="0" borderId="0"/>
    <xf numFmtId="166" fontId="4" fillId="0" borderId="0"/>
    <xf numFmtId="166" fontId="6" fillId="0" borderId="0"/>
    <xf numFmtId="166" fontId="1" fillId="0" borderId="0">
      <alignment vertical="center"/>
    </xf>
    <xf numFmtId="166" fontId="7" fillId="0" borderId="0">
      <alignment vertical="center"/>
    </xf>
    <xf numFmtId="164" fontId="1" fillId="0" borderId="0" applyFont="0" applyFill="0" applyBorder="0" applyAlignment="0" applyProtection="0">
      <alignment vertical="center"/>
    </xf>
    <xf numFmtId="166" fontId="1" fillId="0" borderId="0">
      <alignment vertical="center"/>
    </xf>
    <xf numFmtId="166" fontId="1" fillId="0" borderId="0">
      <alignment vertical="center"/>
    </xf>
    <xf numFmtId="166" fontId="1" fillId="0" borderId="0">
      <alignment vertical="center"/>
    </xf>
    <xf numFmtId="166" fontId="1" fillId="0" borderId="0">
      <alignment vertical="center"/>
    </xf>
    <xf numFmtId="166" fontId="1" fillId="0" borderId="0"/>
    <xf numFmtId="166" fontId="1" fillId="0" borderId="0">
      <alignment vertical="center"/>
    </xf>
    <xf numFmtId="166" fontId="1" fillId="0" borderId="0">
      <alignment vertical="center"/>
    </xf>
    <xf numFmtId="166" fontId="1" fillId="0" borderId="0">
      <alignment vertical="center"/>
    </xf>
    <xf numFmtId="166" fontId="13" fillId="0" borderId="0" applyNumberFormat="0" applyFill="0" applyBorder="0" applyAlignment="0" applyProtection="0">
      <alignment vertical="top"/>
      <protection locked="0"/>
    </xf>
    <xf numFmtId="166" fontId="1" fillId="0" borderId="0">
      <alignment vertical="center"/>
    </xf>
    <xf numFmtId="166" fontId="1" fillId="0" borderId="0">
      <alignment vertical="center"/>
    </xf>
    <xf numFmtId="166" fontId="13" fillId="0" borderId="0" applyNumberFormat="0" applyFill="0" applyBorder="0" applyAlignment="0" applyProtection="0">
      <alignment vertical="center"/>
    </xf>
    <xf numFmtId="0" fontId="1" fillId="0" borderId="0">
      <alignment vertical="center"/>
    </xf>
    <xf numFmtId="0" fontId="4" fillId="0" borderId="0"/>
  </cellStyleXfs>
  <cellXfs count="83">
    <xf numFmtId="166" fontId="0" fillId="0" borderId="0" xfId="0">
      <alignment vertical="center"/>
    </xf>
    <xf numFmtId="166" fontId="0" fillId="0" borderId="0" xfId="0" applyAlignment="1">
      <alignment vertical="center" wrapText="1"/>
    </xf>
    <xf numFmtId="167" fontId="1" fillId="0" borderId="0" xfId="7" applyNumberFormat="1">
      <alignment vertical="center"/>
    </xf>
    <xf numFmtId="166" fontId="0" fillId="0" borderId="0" xfId="0" pivotButton="1">
      <alignment vertical="center"/>
    </xf>
    <xf numFmtId="166" fontId="0" fillId="0" borderId="0" xfId="0" applyAlignment="1">
      <alignment horizontal="left" vertical="center"/>
    </xf>
    <xf numFmtId="167" fontId="1" fillId="0" borderId="0" xfId="7" applyNumberFormat="1" applyAlignment="1">
      <alignment horizontal="center" vertical="center"/>
    </xf>
    <xf numFmtId="167" fontId="0" fillId="0" borderId="0" xfId="0" applyNumberFormat="1">
      <alignment vertical="center"/>
    </xf>
    <xf numFmtId="166" fontId="1" fillId="0" borderId="0" xfId="0" applyFont="1">
      <alignment vertical="center"/>
    </xf>
    <xf numFmtId="165" fontId="1" fillId="0" borderId="0" xfId="7" applyNumberFormat="1">
      <alignment vertical="center"/>
    </xf>
    <xf numFmtId="167" fontId="11" fillId="0" borderId="0" xfId="0" applyNumberFormat="1" applyFont="1" applyBorder="1" applyAlignment="1">
      <alignment horizontal="justify" vertical="top" wrapText="1"/>
    </xf>
    <xf numFmtId="167" fontId="8" fillId="2" borderId="1" xfId="0" applyNumberFormat="1" applyFont="1" applyFill="1" applyBorder="1" applyAlignment="1">
      <alignment horizontal="center" vertical="center" wrapText="1" readingOrder="1"/>
    </xf>
    <xf numFmtId="168" fontId="8" fillId="9" borderId="1" xfId="0" applyNumberFormat="1" applyFont="1" applyFill="1" applyBorder="1" applyAlignment="1">
      <alignment horizontal="center" vertical="center" wrapText="1" readingOrder="1"/>
    </xf>
    <xf numFmtId="167" fontId="8" fillId="9" borderId="1" xfId="0" applyNumberFormat="1" applyFont="1" applyFill="1" applyBorder="1" applyAlignment="1">
      <alignment horizontal="center" vertical="center" wrapText="1" readingOrder="1"/>
    </xf>
    <xf numFmtId="167" fontId="0" fillId="7" borderId="2" xfId="0" applyNumberFormat="1" applyFill="1" applyBorder="1">
      <alignment vertical="center"/>
    </xf>
    <xf numFmtId="168" fontId="0" fillId="8" borderId="2" xfId="0" applyNumberFormat="1" applyFill="1" applyBorder="1">
      <alignment vertical="center"/>
    </xf>
    <xf numFmtId="166" fontId="0" fillId="0" borderId="0" xfId="0" applyNumberFormat="1">
      <alignment vertical="center"/>
    </xf>
    <xf numFmtId="166" fontId="1" fillId="0" borderId="0" xfId="17">
      <alignment vertical="center"/>
    </xf>
    <xf numFmtId="166" fontId="1" fillId="0" borderId="0" xfId="13" applyNumberFormat="1">
      <alignment vertical="center"/>
    </xf>
    <xf numFmtId="166" fontId="0" fillId="0" borderId="0" xfId="0">
      <alignment vertical="center"/>
    </xf>
    <xf numFmtId="166" fontId="1" fillId="0" borderId="0" xfId="19">
      <alignment vertical="center"/>
    </xf>
    <xf numFmtId="166" fontId="14" fillId="0" borderId="0" xfId="0" applyFont="1">
      <alignment vertical="center"/>
    </xf>
    <xf numFmtId="166" fontId="1" fillId="0" borderId="0" xfId="20">
      <alignment vertical="center"/>
    </xf>
    <xf numFmtId="166" fontId="1" fillId="0" borderId="0" xfId="20" applyFill="1">
      <alignment vertical="center"/>
    </xf>
    <xf numFmtId="166" fontId="1" fillId="0" borderId="0" xfId="19" applyFill="1">
      <alignment vertical="center"/>
    </xf>
    <xf numFmtId="166" fontId="12" fillId="3" borderId="0" xfId="0" applyNumberFormat="1" applyFont="1" applyFill="1" applyBorder="1" applyAlignment="1">
      <alignment horizontal="left" vertical="center"/>
    </xf>
    <xf numFmtId="166" fontId="1" fillId="3" borderId="0" xfId="17" applyFill="1" applyBorder="1">
      <alignment vertical="center"/>
    </xf>
    <xf numFmtId="167" fontId="9" fillId="9" borderId="2" xfId="5" applyNumberFormat="1" applyFont="1" applyFill="1" applyBorder="1" applyAlignment="1">
      <alignment horizontal="center" vertical="center" wrapText="1" readingOrder="1"/>
    </xf>
    <xf numFmtId="167" fontId="15" fillId="4" borderId="2" xfId="0" applyNumberFormat="1" applyFont="1" applyFill="1" applyBorder="1" applyAlignment="1">
      <alignment horizontal="center" vertical="center" wrapText="1" readingOrder="1"/>
    </xf>
    <xf numFmtId="49" fontId="16" fillId="10" borderId="4" xfId="1" applyNumberFormat="1" applyFont="1" applyFill="1" applyBorder="1" applyAlignment="1">
      <alignment horizontal="left" vertical="center" wrapText="1"/>
    </xf>
    <xf numFmtId="170" fontId="16" fillId="10" borderId="4" xfId="1" applyNumberFormat="1" applyFont="1" applyFill="1" applyBorder="1" applyAlignment="1">
      <alignment horizontal="left" vertical="center" wrapText="1"/>
    </xf>
    <xf numFmtId="49" fontId="16" fillId="6" borderId="4" xfId="1" applyNumberFormat="1" applyFont="1" applyFill="1" applyBorder="1" applyAlignment="1">
      <alignment horizontal="left" vertical="center" wrapText="1"/>
    </xf>
    <xf numFmtId="166" fontId="4" fillId="0" borderId="0" xfId="13" applyNumberFormat="1" applyFont="1">
      <alignment vertical="center"/>
    </xf>
    <xf numFmtId="166" fontId="0" fillId="0" borderId="0" xfId="0" applyAlignment="1">
      <alignment horizontal="left" vertical="center" indent="1"/>
    </xf>
    <xf numFmtId="2" fontId="0" fillId="0" borderId="0" xfId="0" applyNumberFormat="1">
      <alignment vertical="center"/>
    </xf>
    <xf numFmtId="171" fontId="0" fillId="0" borderId="0" xfId="0" applyNumberFormat="1">
      <alignment vertical="center"/>
    </xf>
    <xf numFmtId="166" fontId="17" fillId="0" borderId="3" xfId="19" applyNumberFormat="1" applyFont="1" applyFill="1" applyBorder="1">
      <alignment vertical="center"/>
    </xf>
    <xf numFmtId="166" fontId="17" fillId="0" borderId="4" xfId="19" applyNumberFormat="1" applyFont="1" applyFill="1" applyBorder="1">
      <alignment vertical="center"/>
    </xf>
    <xf numFmtId="170" fontId="16" fillId="6" borderId="4" xfId="1" applyNumberFormat="1" applyFont="1" applyFill="1" applyBorder="1" applyAlignment="1">
      <alignment horizontal="left" vertical="center" wrapText="1"/>
    </xf>
    <xf numFmtId="166" fontId="17" fillId="11" borderId="4" xfId="19" applyNumberFormat="1" applyFont="1" applyFill="1" applyBorder="1">
      <alignment vertical="center"/>
    </xf>
    <xf numFmtId="49" fontId="16" fillId="5" borderId="4" xfId="1" applyNumberFormat="1" applyFont="1" applyFill="1" applyBorder="1" applyAlignment="1">
      <alignment horizontal="left" vertical="center" wrapText="1"/>
    </xf>
    <xf numFmtId="171" fontId="16" fillId="5" borderId="4" xfId="1" applyNumberFormat="1" applyFont="1" applyFill="1" applyBorder="1" applyAlignment="1">
      <alignment horizontal="left" vertical="center" wrapText="1"/>
    </xf>
    <xf numFmtId="172" fontId="16" fillId="5" borderId="4" xfId="1" applyNumberFormat="1" applyFont="1" applyFill="1" applyBorder="1" applyAlignment="1">
      <alignment horizontal="left" vertical="center" wrapText="1"/>
    </xf>
    <xf numFmtId="166" fontId="17" fillId="11" borderId="4" xfId="19" applyNumberFormat="1" applyFont="1" applyFill="1" applyBorder="1" applyAlignment="1">
      <alignment vertical="center" wrapText="1"/>
    </xf>
    <xf numFmtId="1" fontId="17" fillId="11" borderId="4" xfId="19" applyNumberFormat="1" applyFont="1" applyFill="1" applyBorder="1">
      <alignment vertical="center"/>
    </xf>
    <xf numFmtId="1" fontId="16" fillId="5" borderId="4" xfId="1" applyNumberFormat="1" applyFont="1" applyFill="1" applyBorder="1" applyAlignment="1">
      <alignment horizontal="left" vertical="center" wrapText="1"/>
    </xf>
    <xf numFmtId="49" fontId="21" fillId="10" borderId="4" xfId="1" applyNumberFormat="1" applyFont="1" applyFill="1" applyBorder="1" applyAlignment="1">
      <alignment horizontal="left" vertical="center" wrapText="1"/>
    </xf>
    <xf numFmtId="49" fontId="22" fillId="10" borderId="4" xfId="1" applyNumberFormat="1" applyFont="1" applyFill="1" applyBorder="1" applyAlignment="1">
      <alignment horizontal="left" vertical="center" wrapText="1"/>
    </xf>
    <xf numFmtId="170" fontId="22" fillId="10" borderId="4" xfId="1" applyNumberFormat="1" applyFont="1" applyFill="1" applyBorder="1" applyAlignment="1">
      <alignment horizontal="left" vertical="center" wrapText="1"/>
    </xf>
    <xf numFmtId="1" fontId="22" fillId="5" borderId="4" xfId="1" applyNumberFormat="1" applyFont="1" applyFill="1" applyBorder="1" applyAlignment="1">
      <alignment horizontal="left" vertical="center" wrapText="1"/>
    </xf>
    <xf numFmtId="49" fontId="23" fillId="6" borderId="4" xfId="18" applyNumberFormat="1" applyFont="1" applyFill="1" applyBorder="1" applyAlignment="1" applyProtection="1">
      <alignment horizontal="left" vertical="center" wrapText="1"/>
    </xf>
    <xf numFmtId="169" fontId="4" fillId="10" borderId="4" xfId="13" applyNumberFormat="1" applyFont="1" applyFill="1" applyBorder="1" applyAlignment="1">
      <alignment horizontal="center" vertical="center"/>
    </xf>
    <xf numFmtId="166" fontId="4" fillId="10" borderId="4" xfId="13" applyFont="1" applyFill="1" applyBorder="1">
      <alignment vertical="center"/>
    </xf>
    <xf numFmtId="166" fontId="4" fillId="10" borderId="4" xfId="13" applyNumberFormat="1" applyFont="1" applyFill="1" applyBorder="1">
      <alignment vertical="center"/>
    </xf>
    <xf numFmtId="170" fontId="4" fillId="6" borderId="4" xfId="13" applyNumberFormat="1" applyFont="1" applyFill="1" applyBorder="1">
      <alignment vertical="center"/>
    </xf>
    <xf numFmtId="166" fontId="4" fillId="5" borderId="4" xfId="7" applyNumberFormat="1" applyFont="1" applyFill="1" applyBorder="1" applyAlignment="1">
      <alignment vertical="center" wrapText="1"/>
    </xf>
    <xf numFmtId="171" fontId="4" fillId="5" borderId="4" xfId="13" applyNumberFormat="1" applyFont="1" applyFill="1" applyBorder="1">
      <alignment vertical="center"/>
    </xf>
    <xf numFmtId="166" fontId="4" fillId="6" borderId="4" xfId="13" applyFont="1" applyFill="1" applyBorder="1">
      <alignment vertical="center"/>
    </xf>
    <xf numFmtId="166" fontId="4" fillId="0" borderId="0" xfId="13" applyFont="1">
      <alignment vertical="center"/>
    </xf>
    <xf numFmtId="166" fontId="4" fillId="10" borderId="4" xfId="13" applyFont="1" applyFill="1" applyBorder="1" applyAlignment="1">
      <alignment vertical="center" wrapText="1"/>
    </xf>
    <xf numFmtId="166" fontId="17" fillId="11" borderId="4" xfId="19" applyNumberFormat="1" applyFont="1" applyFill="1" applyBorder="1" applyAlignment="1">
      <alignment horizontal="left" vertical="center"/>
    </xf>
    <xf numFmtId="14" fontId="4" fillId="10" borderId="4" xfId="13" applyNumberFormat="1" applyFont="1" applyFill="1" applyBorder="1" applyAlignment="1">
      <alignment horizontal="left" vertical="center"/>
    </xf>
    <xf numFmtId="49" fontId="13" fillId="6" borderId="4" xfId="18" applyNumberFormat="1" applyFill="1" applyBorder="1" applyAlignment="1" applyProtection="1">
      <alignment horizontal="left" vertical="center" wrapText="1"/>
    </xf>
    <xf numFmtId="49" fontId="17" fillId="11" borderId="4" xfId="19" applyNumberFormat="1" applyFont="1" applyFill="1" applyBorder="1">
      <alignment vertical="center"/>
    </xf>
    <xf numFmtId="170" fontId="17" fillId="11" borderId="4" xfId="19" applyNumberFormat="1" applyFont="1" applyFill="1" applyBorder="1" applyAlignment="1">
      <alignment horizontal="left" vertical="center"/>
    </xf>
    <xf numFmtId="170" fontId="4" fillId="10" borderId="4" xfId="13" applyNumberFormat="1" applyFont="1" applyFill="1" applyBorder="1" applyAlignment="1">
      <alignment horizontal="left" vertical="center"/>
    </xf>
    <xf numFmtId="166" fontId="4" fillId="6" borderId="4" xfId="13" applyFont="1" applyFill="1" applyBorder="1" applyAlignment="1">
      <alignment vertical="center" wrapText="1"/>
    </xf>
    <xf numFmtId="166" fontId="13" fillId="6" borderId="4" xfId="18" applyFill="1" applyBorder="1" applyAlignment="1" applyProtection="1">
      <alignment vertical="center" wrapText="1"/>
    </xf>
    <xf numFmtId="166" fontId="24" fillId="10" borderId="4" xfId="13" applyFont="1" applyFill="1" applyBorder="1">
      <alignment vertical="center"/>
    </xf>
    <xf numFmtId="166" fontId="16" fillId="10" borderId="4" xfId="13" applyFont="1" applyFill="1" applyBorder="1">
      <alignment vertical="center"/>
    </xf>
    <xf numFmtId="166" fontId="0" fillId="0" borderId="5" xfId="0" applyBorder="1">
      <alignment vertical="center"/>
    </xf>
    <xf numFmtId="166" fontId="0" fillId="0" borderId="6" xfId="0" applyBorder="1">
      <alignment vertical="center"/>
    </xf>
    <xf numFmtId="166" fontId="0" fillId="0" borderId="7" xfId="0" applyBorder="1">
      <alignment vertical="center"/>
    </xf>
    <xf numFmtId="2" fontId="0" fillId="0" borderId="8" xfId="0" applyNumberFormat="1" applyBorder="1">
      <alignment vertical="center"/>
    </xf>
    <xf numFmtId="2" fontId="0" fillId="0" borderId="9" xfId="0" applyNumberFormat="1" applyBorder="1">
      <alignment vertical="center"/>
    </xf>
    <xf numFmtId="2" fontId="0" fillId="0" borderId="10" xfId="0" applyNumberFormat="1" applyBorder="1">
      <alignment vertical="center"/>
    </xf>
    <xf numFmtId="2" fontId="0" fillId="0" borderId="11" xfId="0" applyNumberFormat="1" applyBorder="1">
      <alignment vertical="center"/>
    </xf>
    <xf numFmtId="2" fontId="0" fillId="0" borderId="12" xfId="0" applyNumberFormat="1" applyBorder="1">
      <alignment vertical="center"/>
    </xf>
    <xf numFmtId="2" fontId="0" fillId="0" borderId="13" xfId="0" applyNumberFormat="1" applyBorder="1">
      <alignment vertical="center"/>
    </xf>
    <xf numFmtId="49" fontId="0" fillId="0" borderId="0" xfId="0" applyNumberFormat="1">
      <alignment vertical="center"/>
    </xf>
    <xf numFmtId="49" fontId="4" fillId="6" borderId="4" xfId="13" applyNumberFormat="1" applyFont="1" applyFill="1" applyBorder="1">
      <alignment vertical="center"/>
    </xf>
    <xf numFmtId="167" fontId="9" fillId="7" borderId="2" xfId="5" applyNumberFormat="1" applyFont="1" applyFill="1" applyBorder="1" applyAlignment="1">
      <alignment horizontal="center" vertical="center"/>
    </xf>
    <xf numFmtId="167" fontId="9" fillId="7" borderId="2" xfId="5" applyNumberFormat="1" applyFont="1" applyFill="1" applyBorder="1" applyAlignment="1">
      <alignment horizontal="center" vertical="center" wrapText="1"/>
    </xf>
    <xf numFmtId="167" fontId="9" fillId="9" borderId="2" xfId="5" applyNumberFormat="1" applyFont="1" applyFill="1" applyBorder="1" applyAlignment="1">
      <alignment horizontal="center" vertical="center" wrapText="1" readingOrder="1"/>
    </xf>
  </cellXfs>
  <cellStyles count="24">
    <cellStyle name="0,0_x000d__x000a_NA_x000d__x000a_" xfId="1"/>
    <cellStyle name="0,0_x000d__x000a_NA_x000d__x000a_ 3 2" xfId="14"/>
    <cellStyle name="Comma 2" xfId="9"/>
    <cellStyle name="Normal 2" xfId="23"/>
    <cellStyle name="常规" xfId="0" builtinId="0"/>
    <cellStyle name="常规 10" xfId="15"/>
    <cellStyle name="常规 11" xfId="16"/>
    <cellStyle name="常规 12" xfId="17"/>
    <cellStyle name="常规 12 2" xfId="20"/>
    <cellStyle name="常规 13" xfId="22"/>
    <cellStyle name="常规 2" xfId="2"/>
    <cellStyle name="常规 3" xfId="5"/>
    <cellStyle name="常规 4" xfId="6"/>
    <cellStyle name="常规 5" xfId="7"/>
    <cellStyle name="常规 6" xfId="8"/>
    <cellStyle name="常规 6 2" xfId="12"/>
    <cellStyle name="常规 7" xfId="10"/>
    <cellStyle name="常规 8" xfId="11"/>
    <cellStyle name="常规 9" xfId="13"/>
    <cellStyle name="常规 9 2" xfId="19"/>
    <cellStyle name="超链接" xfId="18" builtinId="8"/>
    <cellStyle name="超链接 2" xfId="21"/>
    <cellStyle name="样式 1" xfId="3"/>
    <cellStyle name="一般_twinstars-calendar-01" xfId="4"/>
  </cellStyles>
  <dxfs count="5">
    <dxf>
      <numFmt numFmtId="171" formatCode="yyyy\-mm"/>
    </dxf>
    <dxf>
      <numFmt numFmtId="2" formatCode="0.00"/>
    </dxf>
    <dxf>
      <numFmt numFmtId="2" formatCode="0.00"/>
    </dxf>
    <dxf>
      <alignment horizontal="general" vertical="center" textRotation="0" wrapText="1" relativeIndent="0" justifyLastLine="0" shrinkToFit="0" readingOrder="0"/>
    </dxf>
    <dxf>
      <alignment horizontal="general" vertical="center" textRotation="0" wrapText="1" relativeIndent="0" justifyLastLine="0" shrinkToFit="0" readingOrder="0"/>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99CC"/>
      <color rgb="FFFF99FF"/>
      <color rgb="FF0000FF"/>
      <color rgb="FFB54441"/>
      <color rgb="FFCC9900"/>
      <color rgb="FF996600"/>
      <color rgb="FF663300"/>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theme" Target="theme/theme1.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pivotCacheDefinition" Target="pivotCache/pivotCacheDefinition2.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[大数据RAT需求汇总_20170801.xlsm]产业月度趋势图!数据透视表5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大数据平台月度需求规划工作量</a:t>
            </a:r>
          </a:p>
        </c:rich>
      </c:tx>
      <c:overlay val="0"/>
      <c:spPr>
        <a:noFill/>
        <a:ln>
          <a:noFill/>
        </a:ln>
        <a:effectLst/>
      </c:sp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73689024"/>
        <c:axId val="173690144"/>
      </c:barChart>
      <c:catAx>
        <c:axId val="173689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690144"/>
        <c:crosses val="autoZero"/>
        <c:auto val="1"/>
        <c:lblAlgn val="ctr"/>
        <c:lblOffset val="100"/>
        <c:noMultiLvlLbl val="0"/>
      </c:catAx>
      <c:valAx>
        <c:axId val="173690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689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324968</xdr:colOff>
      <xdr:row>5</xdr:row>
      <xdr:rowOff>107576</xdr:rowOff>
    </xdr:from>
    <xdr:to>
      <xdr:col>19</xdr:col>
      <xdr:colOff>235324</xdr:colOff>
      <xdr:row>31</xdr:row>
      <xdr:rowOff>100853</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Desktop\20151022\SDP%20Platfrom%20%20RAT%20&#20250;&#35758;&#25910;&#38598;&#27169;&#26495;_1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kgnas04-rd\DOCUME~2\L00150~1\LOCALS~1\Temp\notesE97E9E\&#32769;&#24179;&#21488;&#38656;&#27714;2010090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_2016031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E\svn\SDP%20&#22522;&#32447;&#35774;&#35745;&#32452;\VAS&#35299;&#20915;&#26041;&#26696;\F.&#20363;&#34892;&#20107;&#21153;\RAT\01%20RM&#35780;&#23457;&#32426;&#35201;\SDP%20Platfrom%20RAT&#35780;&#23457;&#32426;&#35201;2015102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27169;&#26495;_20160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27169;&#26495;_&#38470;&#22810;&#20426;2016022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l48320\AppData\Local\Microsoft\Windows\Temporary%20Internet%20Files\Content.Outlook\U07RLGCY\SDP%20Platfrom%20%20RAT%20&#20250;&#35758;&#25910;&#38598;(2016-01-05%20&#33778;&#24459;&#23486;Globle&#652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w00255644\AppData\Local\Microsoft\Windows\Temporary%20Internet%20Files\Content.Outlook\7EH318KJ\SDP%20Platfrom%20%20RAT%20&#20250;&#35758;&#25910;&#38598;&#27169;&#26495;_PortalONE_2016112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_2016&#38598;&#21512;.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hWX295507\AppData\Local\Microsoft\Windows\Temporary%20Internet%20Files\Content.Outlook\YFONVO61\SDP%20Platfrom%20%20RAT&#65288;20151023&#65289;_guojianfeng%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AppData\Local\Microsoft\Windows\Temporary%20Internet%20Files\Content.Outlook\YFONVO61\SDP%20Platfrom%20%20RAT%20&#20250;&#35758;&#25910;&#38598;&#27169;&#26495;_&#21160;&#2845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SVN/eData-CBG/Team/06.%20&#39033;&#30446;&#31649;&#29702;/01.%20&#38656;&#27714;&#31649;&#29702;/&#38656;&#27714;&#25910;&#38598;/2017/&#22823;&#25968;&#25454;RAT&#38656;&#27714;&#35758;&#39064;&#25910;&#38598;_2017062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填写区"/>
      <sheetName val="填写说明"/>
      <sheetName val="基本信息选择项"/>
    </sheetNames>
    <sheetDataSet>
      <sheetData sheetId="0" refreshError="1"/>
      <sheetData sheetId="1" refreshError="1"/>
      <sheetData sheetId="2">
        <row r="2">
          <cell r="B2" t="str">
            <v>延期答复</v>
          </cell>
        </row>
        <row r="3">
          <cell r="B3" t="str">
            <v>接纳</v>
          </cell>
        </row>
        <row r="4">
          <cell r="B4" t="str">
            <v>退回</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row r="46">
          <cell r="A46" t="str">
            <v>南非vodacom</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refreshError="1"/>
      <sheetData sheetId="1" refreshError="1"/>
      <sheetData sheetId="2" refreshError="1"/>
      <sheetData sheetId="3" refreshError="1"/>
      <sheetData sheetId="4">
        <row r="2">
          <cell r="A2" t="str">
            <v>BFM</v>
          </cell>
          <cell r="C2" t="str">
            <v>ligen 00255608</v>
          </cell>
          <cell r="D2" t="str">
            <v>MTN多国</v>
          </cell>
        </row>
        <row r="3">
          <cell r="A3" t="str">
            <v>SAG</v>
          </cell>
          <cell r="C3" t="str">
            <v>wuganghao 00201831</v>
          </cell>
          <cell r="D3" t="str">
            <v>印尼XL</v>
          </cell>
        </row>
        <row r="4">
          <cell r="A4" t="str">
            <v>Report</v>
          </cell>
          <cell r="C4" t="str">
            <v>yuyinshan 00184105</v>
          </cell>
          <cell r="D4" t="str">
            <v>肯尼亚SFC</v>
          </cell>
        </row>
        <row r="5">
          <cell r="A5" t="str">
            <v>Portalone</v>
          </cell>
          <cell r="C5" t="str">
            <v>yangpeng 00255800</v>
          </cell>
          <cell r="D5" t="str">
            <v>菲律宾Globe</v>
          </cell>
        </row>
        <row r="6">
          <cell r="A6" t="str">
            <v>SEE</v>
          </cell>
          <cell r="C6" t="str">
            <v>luyanchao 00227366</v>
          </cell>
          <cell r="D6" t="str">
            <v>菲律宾AGW</v>
          </cell>
        </row>
        <row r="7">
          <cell r="A7" t="str">
            <v>imost</v>
          </cell>
          <cell r="C7" t="str">
            <v>gujiang 00341872</v>
          </cell>
          <cell r="D7" t="str">
            <v>埃及mobinil</v>
          </cell>
        </row>
        <row r="8">
          <cell r="A8" t="str">
            <v>IB</v>
          </cell>
          <cell r="C8" t="str">
            <v>wuyameng 00190281</v>
          </cell>
          <cell r="D8" t="str">
            <v>科威特VIVA</v>
          </cell>
        </row>
        <row r="9">
          <cell r="A9" t="str">
            <v>BCVT</v>
          </cell>
          <cell r="C9" t="str">
            <v>guoling 00239274</v>
          </cell>
          <cell r="D9" t="str">
            <v>印尼Indosat</v>
          </cell>
        </row>
        <row r="10">
          <cell r="A10" t="str">
            <v>Charging</v>
          </cell>
          <cell r="C10" t="str">
            <v>zhuxiaoqi 00181750</v>
          </cell>
          <cell r="D10" t="str">
            <v>印尼telkomsel</v>
          </cell>
        </row>
        <row r="11">
          <cell r="A11" t="str">
            <v>CGW</v>
          </cell>
          <cell r="C11" t="str">
            <v>hangpeipei KF48263</v>
          </cell>
          <cell r="D11" t="str">
            <v>泰国DTAC</v>
          </cell>
        </row>
        <row r="12">
          <cell r="A12" t="str">
            <v>SIS</v>
          </cell>
          <cell r="C12" t="str">
            <v>chenguangyu 00300693</v>
          </cell>
          <cell r="D12" t="str">
            <v>乌克兰MTS</v>
          </cell>
        </row>
        <row r="13">
          <cell r="A13" t="str">
            <v>SMPA</v>
          </cell>
          <cell r="C13" t="str">
            <v>sunyi 00280731</v>
          </cell>
          <cell r="D13" t="str">
            <v>安哥拉unitel</v>
          </cell>
        </row>
        <row r="14">
          <cell r="A14" t="str">
            <v>LCAP</v>
          </cell>
          <cell r="C14" t="str">
            <v>zhouyumei KF64487</v>
          </cell>
          <cell r="D14" t="str">
            <v>埃塞ET</v>
          </cell>
        </row>
        <row r="15">
          <cell r="A15" t="str">
            <v>Payment</v>
          </cell>
          <cell r="C15" t="str">
            <v>Ramesh Chandra Somayaji D 71214</v>
          </cell>
          <cell r="D15" t="str">
            <v>孟加拉Robi</v>
          </cell>
        </row>
        <row r="16">
          <cell r="A16" t="str">
            <v>DLSC</v>
          </cell>
          <cell r="C16" t="str">
            <v>chehua 00188837</v>
          </cell>
          <cell r="D16" t="str">
            <v>埃及ET</v>
          </cell>
        </row>
        <row r="17">
          <cell r="A17" t="str">
            <v>Streaming</v>
          </cell>
          <cell r="C17" t="str">
            <v>zhaoxin 00195042</v>
          </cell>
          <cell r="D17" t="str">
            <v>沙特MobilyDT</v>
          </cell>
        </row>
        <row r="18">
          <cell r="A18" t="str">
            <v>DDR</v>
          </cell>
          <cell r="C18" t="str">
            <v>qiutao 00255622</v>
          </cell>
          <cell r="D18" t="str">
            <v>菲律宾CDP</v>
          </cell>
        </row>
        <row r="19">
          <cell r="A19" t="str">
            <v>HDM</v>
          </cell>
          <cell r="C19" t="str">
            <v>luduojun 00134868</v>
          </cell>
          <cell r="D19" t="str">
            <v>伊拉克ZAIN</v>
          </cell>
        </row>
        <row r="20">
          <cell r="A20" t="str">
            <v>TLF_MDSP</v>
          </cell>
          <cell r="C20" t="str">
            <v>wangxing WX220268</v>
          </cell>
          <cell r="D20" t="str">
            <v>沙特ZAIN</v>
          </cell>
        </row>
        <row r="21">
          <cell r="A21" t="str">
            <v>基地MDSP</v>
          </cell>
          <cell r="C21" t="str">
            <v>fengchao WX274536</v>
          </cell>
          <cell r="D21" t="str">
            <v>阿尔及利亚SDP</v>
          </cell>
        </row>
        <row r="22">
          <cell r="A22" t="str">
            <v>集成</v>
          </cell>
          <cell r="C22" t="str">
            <v>zhangjian 00200084</v>
          </cell>
          <cell r="D22" t="str">
            <v>MTN伊朗</v>
          </cell>
        </row>
        <row r="23">
          <cell r="A23" t="str">
            <v>资料</v>
          </cell>
          <cell r="C23" t="str">
            <v>Lu Hui 00285857</v>
          </cell>
          <cell r="D23" t="str">
            <v>AMXHUB</v>
          </cell>
        </row>
        <row r="24">
          <cell r="A24" t="str">
            <v>测试</v>
          </cell>
          <cell r="C24" t="str">
            <v>xuyingming 00138424</v>
          </cell>
          <cell r="D24" t="str">
            <v>GlobalSMT</v>
          </cell>
        </row>
        <row r="25">
          <cell r="A25" t="str">
            <v>割接</v>
          </cell>
          <cell r="C25" t="str">
            <v>yejingkun 00196065</v>
          </cell>
          <cell r="D25" t="str">
            <v>TLFSDP</v>
          </cell>
        </row>
        <row r="26">
          <cell r="C26" t="str">
            <v>chenyouhan 00330037</v>
          </cell>
          <cell r="D26" t="str">
            <v>哥伦比亚SDP</v>
          </cell>
        </row>
        <row r="27">
          <cell r="C27" t="str">
            <v>hanzhengjing 00275561</v>
          </cell>
          <cell r="D27" t="str">
            <v>智利VTR</v>
          </cell>
        </row>
        <row r="28">
          <cell r="C28" t="str">
            <v>lishunqing 00148930</v>
          </cell>
          <cell r="D28" t="str">
            <v>游戏基地</v>
          </cell>
        </row>
        <row r="29">
          <cell r="C29" t="str">
            <v>taolei 00318699</v>
          </cell>
          <cell r="D29" t="str">
            <v>动漫基地</v>
          </cell>
        </row>
        <row r="30">
          <cell r="C30" t="str">
            <v>wangruixue WX157737</v>
          </cell>
          <cell r="D30" t="str">
            <v>Hosting</v>
          </cell>
        </row>
        <row r="31">
          <cell r="D31" t="str">
            <v>SDP基线</v>
          </cell>
        </row>
        <row r="32">
          <cell r="D32" t="str">
            <v>VAS_Cloud</v>
          </cell>
        </row>
        <row r="33">
          <cell r="D33" t="str">
            <v>德国O2</v>
          </cell>
        </row>
        <row r="34">
          <cell r="D34" t="str">
            <v>IPTV</v>
          </cell>
        </row>
        <row r="35">
          <cell r="D35" t="str">
            <v>数字游戏</v>
          </cell>
        </row>
        <row r="36">
          <cell r="D36" t="str">
            <v>数字音乐</v>
          </cell>
        </row>
      </sheetData>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 val="Sheet1"/>
    </sheetNames>
    <sheetDataSet>
      <sheetData sheetId="0"/>
      <sheetData sheetId="1"/>
      <sheetData sheetId="2"/>
      <sheetData sheetId="3"/>
      <sheetData sheetId="4">
        <row r="2">
          <cell r="D2" t="str">
            <v>MTN多国</v>
          </cell>
        </row>
        <row r="3">
          <cell r="D3" t="str">
            <v>印尼XL</v>
          </cell>
        </row>
        <row r="4">
          <cell r="D4" t="str">
            <v>肯尼亚SFC</v>
          </cell>
        </row>
        <row r="5">
          <cell r="D5" t="str">
            <v>菲律宾Globe</v>
          </cell>
        </row>
        <row r="6">
          <cell r="D6" t="str">
            <v>菲律宾AGW</v>
          </cell>
        </row>
        <row r="7">
          <cell r="D7" t="str">
            <v>埃及mobinil</v>
          </cell>
        </row>
        <row r="8">
          <cell r="D8" t="str">
            <v>科威特VIVA</v>
          </cell>
        </row>
        <row r="9">
          <cell r="D9" t="str">
            <v>印尼Indosat</v>
          </cell>
        </row>
        <row r="10">
          <cell r="D10" t="str">
            <v>印尼telkomsel</v>
          </cell>
        </row>
        <row r="11">
          <cell r="D11" t="str">
            <v>泰国DTAC</v>
          </cell>
        </row>
        <row r="12">
          <cell r="D12" t="str">
            <v>乌克兰MTS</v>
          </cell>
        </row>
        <row r="13">
          <cell r="D13" t="str">
            <v>安哥拉unitel</v>
          </cell>
        </row>
        <row r="14">
          <cell r="D14" t="str">
            <v>埃塞ET</v>
          </cell>
        </row>
        <row r="15">
          <cell r="D15" t="str">
            <v>孟加拉Robi</v>
          </cell>
        </row>
        <row r="16">
          <cell r="D16" t="str">
            <v>埃及ET</v>
          </cell>
        </row>
        <row r="17">
          <cell r="D17" t="str">
            <v>沙特MobilyDT</v>
          </cell>
        </row>
        <row r="18">
          <cell r="D18" t="str">
            <v>菲律宾CDP</v>
          </cell>
        </row>
        <row r="19">
          <cell r="D19" t="str">
            <v>伊拉克ZAIN</v>
          </cell>
        </row>
        <row r="20">
          <cell r="D20" t="str">
            <v>沙特ZAIN</v>
          </cell>
        </row>
        <row r="21">
          <cell r="D21" t="str">
            <v>阿尔及利亚SDP</v>
          </cell>
        </row>
        <row r="22">
          <cell r="D22" t="str">
            <v>MTN伊朗</v>
          </cell>
        </row>
        <row r="23">
          <cell r="D23" t="str">
            <v>AMXHUB</v>
          </cell>
        </row>
        <row r="24">
          <cell r="D24" t="str">
            <v>GlobalSMT</v>
          </cell>
        </row>
        <row r="25">
          <cell r="D25" t="str">
            <v>TLFSDP</v>
          </cell>
        </row>
        <row r="26">
          <cell r="D26" t="str">
            <v>哥伦比亚SDP</v>
          </cell>
        </row>
        <row r="27">
          <cell r="D27" t="str">
            <v>智利VTR</v>
          </cell>
        </row>
        <row r="28">
          <cell r="D28" t="str">
            <v>游戏基地</v>
          </cell>
        </row>
        <row r="29">
          <cell r="D29" t="str">
            <v>动漫基地</v>
          </cell>
        </row>
        <row r="30">
          <cell r="D30" t="str">
            <v>Hosting</v>
          </cell>
        </row>
        <row r="31">
          <cell r="D31" t="str">
            <v>SDP基线</v>
          </cell>
        </row>
        <row r="32">
          <cell r="D32" t="str">
            <v>VasCloud</v>
          </cell>
        </row>
        <row r="33">
          <cell r="D33" t="str">
            <v>德国O2</v>
          </cell>
        </row>
        <row r="34">
          <cell r="D34" t="str">
            <v>IPTV</v>
          </cell>
        </row>
        <row r="35">
          <cell r="D35" t="str">
            <v>数字游戏</v>
          </cell>
        </row>
        <row r="36">
          <cell r="D36" t="str">
            <v>数字音乐</v>
          </cell>
        </row>
        <row r="37">
          <cell r="D37" t="str">
            <v>苏丹ZAIN</v>
          </cell>
        </row>
        <row r="38">
          <cell r="D38" t="str">
            <v>阿根廷CDP</v>
          </cell>
        </row>
        <row r="39">
          <cell r="D39" t="str">
            <v>菲律宾LIS</v>
          </cell>
        </row>
        <row r="40">
          <cell r="D40" t="str">
            <v>秘鲁CDP</v>
          </cell>
        </row>
        <row r="41">
          <cell r="D41" t="str">
            <v>巴林VIVA</v>
          </cell>
        </row>
        <row r="42">
          <cell r="D42" t="str">
            <v>伊朗MTN手机报</v>
          </cell>
        </row>
        <row r="43">
          <cell r="D43" t="str">
            <v>尼日利亚Glo</v>
          </cell>
        </row>
      </sheetData>
      <sheetData sheetId="5"/>
      <sheetData sheetId="6"/>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cell r="C2" t="str">
            <v>ligen 00255608</v>
          </cell>
        </row>
        <row r="3">
          <cell r="A3" t="str">
            <v>SAG</v>
          </cell>
          <cell r="C3" t="str">
            <v>wuganghao 00201831</v>
          </cell>
        </row>
        <row r="4">
          <cell r="A4" t="str">
            <v>Report</v>
          </cell>
          <cell r="C4" t="str">
            <v>yuyinshan 00184105</v>
          </cell>
        </row>
        <row r="5">
          <cell r="A5" t="str">
            <v>Portalone</v>
          </cell>
          <cell r="C5" t="str">
            <v>yangpeng 00255800</v>
          </cell>
        </row>
        <row r="6">
          <cell r="A6" t="str">
            <v>SEE</v>
          </cell>
          <cell r="C6" t="str">
            <v>luyanchao 00227366</v>
          </cell>
        </row>
        <row r="7">
          <cell r="A7" t="str">
            <v>imost</v>
          </cell>
          <cell r="C7" t="str">
            <v>gujiang 00341872</v>
          </cell>
        </row>
        <row r="8">
          <cell r="A8" t="str">
            <v>IB</v>
          </cell>
          <cell r="C8" t="str">
            <v>wuyameng 00190281</v>
          </cell>
        </row>
        <row r="9">
          <cell r="A9" t="str">
            <v>BCVT</v>
          </cell>
          <cell r="C9" t="str">
            <v>guoling 00239274</v>
          </cell>
        </row>
        <row r="10">
          <cell r="A10" t="str">
            <v>Charging</v>
          </cell>
          <cell r="C10" t="str">
            <v>zhuxiaoqi 00181750</v>
          </cell>
        </row>
        <row r="11">
          <cell r="A11" t="str">
            <v>CGW</v>
          </cell>
          <cell r="C11" t="str">
            <v>hangpeipei KF48263</v>
          </cell>
        </row>
        <row r="12">
          <cell r="A12" t="str">
            <v>SIS</v>
          </cell>
          <cell r="C12" t="str">
            <v>chenguangyu 00300693</v>
          </cell>
        </row>
        <row r="13">
          <cell r="A13" t="str">
            <v>SMPA</v>
          </cell>
          <cell r="C13" t="str">
            <v>sunyi 00280731</v>
          </cell>
        </row>
        <row r="14">
          <cell r="A14" t="str">
            <v>LCAP</v>
          </cell>
          <cell r="C14" t="str">
            <v>zhouyumei KF64487</v>
          </cell>
        </row>
        <row r="15">
          <cell r="A15" t="str">
            <v>Payment</v>
          </cell>
          <cell r="C15" t="str">
            <v>Ramesh Chandra Somayaji D 71214</v>
          </cell>
        </row>
        <row r="16">
          <cell r="A16" t="str">
            <v>DLSC</v>
          </cell>
          <cell r="C16" t="str">
            <v>chehua 00188837</v>
          </cell>
        </row>
        <row r="17">
          <cell r="A17" t="str">
            <v>Streaming</v>
          </cell>
          <cell r="C17" t="str">
            <v>zhaoxin 00195042</v>
          </cell>
        </row>
        <row r="18">
          <cell r="A18" t="str">
            <v>DDR</v>
          </cell>
          <cell r="C18" t="str">
            <v>qiutao 00255622</v>
          </cell>
        </row>
        <row r="19">
          <cell r="A19" t="str">
            <v>HDM</v>
          </cell>
          <cell r="C19" t="str">
            <v>luduojun 00134868</v>
          </cell>
        </row>
        <row r="20">
          <cell r="A20" t="str">
            <v>TLF_MDSP</v>
          </cell>
          <cell r="C20" t="str">
            <v>wangxing WX220268</v>
          </cell>
        </row>
        <row r="21">
          <cell r="A21" t="str">
            <v>基地MDSP</v>
          </cell>
          <cell r="C21" t="str">
            <v>fengchao WX274536</v>
          </cell>
        </row>
        <row r="22">
          <cell r="A22" t="str">
            <v>集成</v>
          </cell>
          <cell r="C22" t="str">
            <v>zhangjian 00200084</v>
          </cell>
        </row>
        <row r="23">
          <cell r="A23" t="str">
            <v>资料</v>
          </cell>
          <cell r="C23" t="str">
            <v>Lu Hui 00285857</v>
          </cell>
        </row>
        <row r="24">
          <cell r="A24" t="str">
            <v>测试</v>
          </cell>
          <cell r="C24" t="str">
            <v>xuyingming 00138424</v>
          </cell>
        </row>
        <row r="25">
          <cell r="A25" t="str">
            <v>割接</v>
          </cell>
          <cell r="C25" t="str">
            <v>yejingkun 00196065</v>
          </cell>
        </row>
        <row r="26">
          <cell r="C26" t="str">
            <v>chenyouhan 00330037</v>
          </cell>
        </row>
        <row r="27">
          <cell r="C27" t="str">
            <v>hanzhengjing 00275561</v>
          </cell>
        </row>
        <row r="28">
          <cell r="C28" t="str">
            <v>lishunqing 00148930</v>
          </cell>
        </row>
        <row r="29">
          <cell r="C29" t="str">
            <v>taolei 00318699</v>
          </cell>
        </row>
        <row r="30">
          <cell r="C30" t="str">
            <v>wangruixue WX157737</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C2" t="str">
            <v>luzhimin 00200917</v>
          </cell>
        </row>
        <row r="3">
          <cell r="C3" t="str">
            <v>wanghui 00265912</v>
          </cell>
        </row>
        <row r="4">
          <cell r="C4" t="str">
            <v>guoqiang 00105848</v>
          </cell>
        </row>
        <row r="5">
          <cell r="C5" t="str">
            <v>zhangxinfeng 00301613</v>
          </cell>
        </row>
        <row r="6">
          <cell r="C6" t="str">
            <v>luduojun 00134868</v>
          </cell>
        </row>
        <row r="7">
          <cell r="C7" t="str">
            <v>zhangyi 00167994</v>
          </cell>
        </row>
        <row r="8">
          <cell r="C8" t="str">
            <v>chenjianmin 00210483</v>
          </cell>
        </row>
        <row r="9">
          <cell r="C9" t="str">
            <v>yangjian 00161823</v>
          </cell>
        </row>
        <row r="10">
          <cell r="C10" t="str">
            <v>xiaojianfeng 00132828</v>
          </cell>
        </row>
        <row r="11">
          <cell r="C11" t="str">
            <v>penglei 00297096</v>
          </cell>
        </row>
        <row r="12">
          <cell r="C12" t="str">
            <v>guojianfeng 00266716</v>
          </cell>
        </row>
        <row r="13">
          <cell r="C13" t="str">
            <v>miaohongjun 00255633</v>
          </cell>
        </row>
        <row r="14">
          <cell r="C14" t="str">
            <v>fanfeng 00212027</v>
          </cell>
        </row>
        <row r="15">
          <cell r="C15" t="str">
            <v>zhouzhilin 00139584</v>
          </cell>
        </row>
        <row r="16">
          <cell r="C16" t="str">
            <v>xuyan 00303073</v>
          </cell>
        </row>
        <row r="17">
          <cell r="C17" t="str">
            <v>huangyan 00151385</v>
          </cell>
        </row>
        <row r="18">
          <cell r="C18" t="str">
            <v>Lu Hui 00285857</v>
          </cell>
        </row>
        <row r="19">
          <cell r="C19" t="str">
            <v>qiutao 00255622</v>
          </cell>
        </row>
        <row r="20">
          <cell r="C20" t="str">
            <v>luyao 00192113</v>
          </cell>
        </row>
        <row r="21">
          <cell r="C21" t="str">
            <v>jijianzhong 00168302</v>
          </cell>
        </row>
        <row r="22">
          <cell r="C22" t="str">
            <v>caojiesheng 00265108</v>
          </cell>
        </row>
        <row r="23">
          <cell r="C23" t="str">
            <v>nilan 00149887</v>
          </cell>
        </row>
        <row r="24">
          <cell r="C24" t="str">
            <v>xiewanzhong 00255736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议题收集模板"/>
      <sheetName val="常量值"/>
    </sheetNames>
    <sheetDataSet>
      <sheetData sheetId="0"/>
      <sheetData sheetId="1"/>
      <sheetData sheetId="2"/>
      <sheetData sheetId="3">
        <row r="2">
          <cell r="C2" t="str">
            <v>邱涛 00255622</v>
          </cell>
        </row>
        <row r="3">
          <cell r="C3" t="str">
            <v>瞿成兵 00381064</v>
          </cell>
        </row>
        <row r="4">
          <cell r="C4" t="str">
            <v>曹洁生 00265108</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Quchengbing" refreshedDate="42922.727740625" createdVersion="5" refreshedVersion="5" minRefreshableVersion="3" recordCount="29">
  <cacheSource type="worksheet">
    <worksheetSource ref="K1:S1048576" sheet="全部RM"/>
  </cacheSource>
  <cacheFields count="9">
    <cacheField name="工作量(人天)*" numFmtId="0">
      <sharedItems containsBlank="1" containsMixedTypes="1" containsNumber="1" containsInteger="1" minValue="0" maxValue="60"/>
    </cacheField>
    <cacheField name="RAT结论" numFmtId="172">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70">
      <sharedItems containsBlank="1"/>
    </cacheField>
    <cacheField name="One Data迁移满足度" numFmtId="170">
      <sharedItems containsBlank="1"/>
    </cacheField>
    <cacheField name="是否满足开发入口条件 " numFmtId="0">
      <sharedItems containsBlank="1"/>
    </cacheField>
    <cacheField name="AHB计划安排" numFmtId="171">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Quchengbing" refreshedDate="42922.728782523147" createdVersion="5" refreshedVersion="5" minRefreshableVersion="3" recordCount="29">
  <cacheSource type="worksheet">
    <worksheetSource ref="I1:S1048576" sheet="全部RM"/>
  </cacheSource>
  <cacheFields count="11">
    <cacheField name="需求类型*" numFmtId="0">
      <sharedItems containsBlank="1" count="4">
        <s v="功能 Function"/>
        <s v="内部优化"/>
        <s v="功能Function"/>
        <m/>
      </sharedItems>
    </cacheField>
    <cacheField name="产业" numFmtId="0">
      <sharedItems containsBlank="1" count="3">
        <s v="游戏"/>
        <s v="视频"/>
        <m/>
      </sharedItems>
    </cacheField>
    <cacheField name="工作量(人天)*" numFmtId="0">
      <sharedItems containsBlank="1" containsMixedTypes="1" containsNumber="1" containsInteger="1" minValue="0" maxValue="60"/>
    </cacheField>
    <cacheField name="RAT结论" numFmtId="172">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70">
      <sharedItems containsBlank="1"/>
    </cacheField>
    <cacheField name="One Data迁移满足度" numFmtId="170">
      <sharedItems containsBlank="1"/>
    </cacheField>
    <cacheField name="是否满足开发入口条件 " numFmtId="0">
      <sharedItems containsBlank="1"/>
    </cacheField>
    <cacheField name="AHB计划安排" numFmtId="171">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9">
  <r>
    <n v="6"/>
    <s v="02 接纳|组织方案设计"/>
    <m/>
    <s v="正常需求"/>
    <s v="OK"/>
    <s v="OK"/>
    <s v="免"/>
    <s v="是"/>
    <s v="201706H1"/>
  </r>
  <r>
    <n v="2"/>
    <s v="02 接纳|组织方案设计"/>
    <m/>
    <s v="正常需求"/>
    <s v="OK"/>
    <s v="OK"/>
    <s v="免"/>
    <m/>
    <s v="201706H1"/>
  </r>
  <r>
    <s v="6"/>
    <s v="02 接纳|组织方案设计"/>
    <m/>
    <s v="正常需求"/>
    <s v="OK"/>
    <s v="OK"/>
    <s v="免"/>
    <m/>
    <s v="201706H1"/>
  </r>
  <r>
    <s v="6"/>
    <s v="02 接纳|组织方案设计"/>
    <m/>
    <s v="正常需求"/>
    <s v="OK"/>
    <s v="OK"/>
    <s v="免"/>
    <m/>
    <s v="201706H1"/>
  </r>
  <r>
    <s v="4"/>
    <s v="02 接纳|组织方案设计"/>
    <m/>
    <s v="正常需求"/>
    <s v="OK"/>
    <s v="OK"/>
    <s v="免"/>
    <m/>
    <s v="201706H1"/>
  </r>
  <r>
    <n v="0"/>
    <s v="03 退回|需求不清晰，需要提交人补充"/>
    <m/>
    <s v="正常需求"/>
    <s v="OK"/>
    <s v="OK"/>
    <s v="免"/>
    <m/>
    <m/>
  </r>
  <r>
    <n v="2"/>
    <s v="02 接纳|组织方案设计"/>
    <m/>
    <s v="正常需求"/>
    <s v="OK"/>
    <s v="OK"/>
    <s v="免"/>
    <m/>
    <m/>
  </r>
  <r>
    <s v="6"/>
    <s v="02 接纳|组织方案设计"/>
    <m/>
    <s v="正常需求"/>
    <s v="OK"/>
    <s v="OK"/>
    <s v="免"/>
    <m/>
    <m/>
  </r>
  <r>
    <s v="2"/>
    <s v="02 接纳|组织方案设计"/>
    <m/>
    <s v="正常需求"/>
    <s v="OK"/>
    <s v="OK"/>
    <s v="免"/>
    <m/>
    <m/>
  </r>
  <r>
    <n v="8"/>
    <s v="03 退回|需求不清晰，需要提交人补充"/>
    <m/>
    <s v="正常需求"/>
    <s v="OK"/>
    <s v="OK"/>
    <s v="免"/>
    <m/>
    <m/>
  </r>
  <r>
    <n v="5"/>
    <s v="02 接纳|组织方案设计"/>
    <m/>
    <s v="正常需求"/>
    <s v="OK"/>
    <s v="OK"/>
    <s v="免"/>
    <m/>
    <m/>
  </r>
  <r>
    <n v="60"/>
    <s v="02 接纳|组织方案设计"/>
    <m/>
    <s v="正常需求"/>
    <s v="OK"/>
    <s v="OK"/>
    <s v="免"/>
    <m/>
    <s v="2017H2"/>
  </r>
  <r>
    <n v="7"/>
    <s v="02 接纳|组织方案设计"/>
    <s v="优先使用CBG类似方案"/>
    <s v="正常需求"/>
    <s v="OK"/>
    <s v="OK"/>
    <s v="免"/>
    <m/>
    <m/>
  </r>
  <r>
    <n v="45"/>
    <s v="02 接纳|组织方案设计"/>
    <m/>
    <s v="正常需求"/>
    <s v="OK"/>
    <s v="OK"/>
    <s v="免"/>
    <m/>
    <m/>
  </r>
  <r>
    <n v="45"/>
    <s v="02 接纳|组织方案设计"/>
    <m/>
    <s v="正常需求"/>
    <s v="OK"/>
    <s v="OK"/>
    <s v="免"/>
    <m/>
    <m/>
  </r>
  <r>
    <s v="22"/>
    <s v="02 接纳|组织方案设计"/>
    <s v="AHB前重新审视方案"/>
    <s v="正常需求"/>
    <s v="OK"/>
    <s v="OK"/>
    <s v="免"/>
    <m/>
    <m/>
  </r>
  <r>
    <s v="22"/>
    <s v="02 接纳|组织方案设计"/>
    <m/>
    <s v="正常需求"/>
    <s v="OK"/>
    <s v="OK"/>
    <s v="免"/>
    <m/>
    <m/>
  </r>
  <r>
    <n v="10"/>
    <s v="02 接纳|组织方案设计"/>
    <m/>
    <s v="正常需求"/>
    <m/>
    <m/>
    <m/>
    <m/>
    <m/>
  </r>
  <r>
    <n v="15"/>
    <s v="02 接纳|组织方案设计"/>
    <m/>
    <s v="正常需求"/>
    <m/>
    <m/>
    <m/>
    <m/>
    <m/>
  </r>
  <r>
    <n v="10"/>
    <s v="02 接纳|组织方案设计"/>
    <m/>
    <s v="正常需求"/>
    <m/>
    <m/>
    <m/>
    <m/>
    <m/>
  </r>
  <r>
    <n v="20"/>
    <s v="02 接纳|组织方案设计"/>
    <m/>
    <s v="正常需求"/>
    <s v="待定"/>
    <s v="OK"/>
    <m/>
    <m/>
    <m/>
  </r>
  <r>
    <n v="5"/>
    <s v="02 接纳|组织方案设计"/>
    <m/>
    <s v="正常需求"/>
    <s v="OK"/>
    <s v="OK"/>
    <m/>
    <m/>
    <m/>
  </r>
  <r>
    <n v="17"/>
    <s v="02 接纳|组织方案设计"/>
    <m/>
    <s v="正常需求"/>
    <s v="待定"/>
    <s v="OK"/>
    <m/>
    <m/>
    <m/>
  </r>
  <r>
    <n v="30"/>
    <s v="02 接纳|组织方案设计"/>
    <m/>
    <s v="正常需求"/>
    <s v="待定"/>
    <s v="OK"/>
    <m/>
    <m/>
    <m/>
  </r>
  <r>
    <n v="3"/>
    <s v="02 接纳|组织方案设计"/>
    <m/>
    <s v="正常需求"/>
    <s v="OK"/>
    <s v="OK"/>
    <m/>
    <m/>
    <m/>
  </r>
  <r>
    <s v="22"/>
    <m/>
    <m/>
    <s v="正常需求"/>
    <s v="OK"/>
    <s v="OK"/>
    <s v="免"/>
    <m/>
    <m/>
  </r>
  <r>
    <s v="22"/>
    <m/>
    <m/>
    <s v="正常需求"/>
    <s v="OK"/>
    <s v="OK"/>
    <s v="免"/>
    <m/>
    <m/>
  </r>
  <r>
    <n v="22"/>
    <m/>
    <m/>
    <m/>
    <m/>
    <m/>
    <m/>
    <m/>
    <m/>
  </r>
  <r>
    <m/>
    <m/>
    <m/>
    <m/>
    <m/>
    <m/>
    <m/>
    <m/>
    <m/>
  </r>
</pivotCacheRecords>
</file>

<file path=xl/pivotCache/pivotCacheRecords2.xml><?xml version="1.0" encoding="utf-8"?>
<pivotCacheRecords xmlns="http://schemas.openxmlformats.org/spreadsheetml/2006/main" xmlns:r="http://schemas.openxmlformats.org/officeDocument/2006/relationships" count="29">
  <r>
    <x v="0"/>
    <x v="0"/>
    <n v="6"/>
    <s v="02 接纳|组织方案设计"/>
    <m/>
    <s v="正常需求"/>
    <s v="OK"/>
    <s v="OK"/>
    <s v="免"/>
    <s v="是"/>
    <s v="201706H1"/>
  </r>
  <r>
    <x v="0"/>
    <x v="0"/>
    <n v="2"/>
    <s v="02 接纳|组织方案设计"/>
    <m/>
    <s v="正常需求"/>
    <s v="OK"/>
    <s v="OK"/>
    <s v="免"/>
    <m/>
    <s v="201706H1"/>
  </r>
  <r>
    <x v="0"/>
    <x v="0"/>
    <s v="6"/>
    <s v="02 接纳|组织方案设计"/>
    <m/>
    <s v="正常需求"/>
    <s v="OK"/>
    <s v="OK"/>
    <s v="免"/>
    <m/>
    <s v="201706H1"/>
  </r>
  <r>
    <x v="0"/>
    <x v="0"/>
    <s v="6"/>
    <s v="02 接纳|组织方案设计"/>
    <m/>
    <s v="正常需求"/>
    <s v="OK"/>
    <s v="OK"/>
    <s v="免"/>
    <m/>
    <s v="201706H1"/>
  </r>
  <r>
    <x v="0"/>
    <x v="0"/>
    <s v="4"/>
    <s v="02 接纳|组织方案设计"/>
    <m/>
    <s v="正常需求"/>
    <s v="OK"/>
    <s v="OK"/>
    <s v="免"/>
    <m/>
    <s v="201706H1"/>
  </r>
  <r>
    <x v="0"/>
    <x v="0"/>
    <n v="0"/>
    <s v="03 退回|需求不清晰，需要提交人补充"/>
    <m/>
    <s v="正常需求"/>
    <s v="OK"/>
    <s v="OK"/>
    <s v="免"/>
    <m/>
    <m/>
  </r>
  <r>
    <x v="0"/>
    <x v="0"/>
    <n v="2"/>
    <s v="02 接纳|组织方案设计"/>
    <m/>
    <s v="正常需求"/>
    <s v="OK"/>
    <s v="OK"/>
    <s v="免"/>
    <m/>
    <m/>
  </r>
  <r>
    <x v="0"/>
    <x v="0"/>
    <s v="6"/>
    <s v="02 接纳|组织方案设计"/>
    <m/>
    <s v="正常需求"/>
    <s v="OK"/>
    <s v="OK"/>
    <s v="免"/>
    <m/>
    <m/>
  </r>
  <r>
    <x v="0"/>
    <x v="0"/>
    <s v="2"/>
    <s v="02 接纳|组织方案设计"/>
    <m/>
    <s v="正常需求"/>
    <s v="OK"/>
    <s v="OK"/>
    <s v="免"/>
    <m/>
    <m/>
  </r>
  <r>
    <x v="0"/>
    <x v="0"/>
    <n v="8"/>
    <s v="03 退回|需求不清晰，需要提交人补充"/>
    <m/>
    <s v="正常需求"/>
    <s v="OK"/>
    <s v="OK"/>
    <s v="免"/>
    <m/>
    <m/>
  </r>
  <r>
    <x v="0"/>
    <x v="0"/>
    <n v="5"/>
    <s v="02 接纳|组织方案设计"/>
    <m/>
    <s v="正常需求"/>
    <s v="OK"/>
    <s v="OK"/>
    <s v="免"/>
    <m/>
    <m/>
  </r>
  <r>
    <x v="0"/>
    <x v="0"/>
    <n v="60"/>
    <s v="02 接纳|组织方案设计"/>
    <m/>
    <s v="正常需求"/>
    <s v="OK"/>
    <s v="OK"/>
    <s v="免"/>
    <m/>
    <s v="2017H2"/>
  </r>
  <r>
    <x v="1"/>
    <x v="0"/>
    <n v="7"/>
    <s v="02 接纳|组织方案设计"/>
    <s v="优先使用CBG类似方案"/>
    <s v="正常需求"/>
    <s v="OK"/>
    <s v="OK"/>
    <s v="免"/>
    <m/>
    <m/>
  </r>
  <r>
    <x v="0"/>
    <x v="0"/>
    <n v="45"/>
    <s v="02 接纳|组织方案设计"/>
    <m/>
    <s v="正常需求"/>
    <s v="OK"/>
    <s v="OK"/>
    <s v="免"/>
    <m/>
    <m/>
  </r>
  <r>
    <x v="0"/>
    <x v="0"/>
    <n v="45"/>
    <s v="02 接纳|组织方案设计"/>
    <m/>
    <s v="正常需求"/>
    <s v="OK"/>
    <s v="OK"/>
    <s v="免"/>
    <m/>
    <m/>
  </r>
  <r>
    <x v="0"/>
    <x v="1"/>
    <s v="22"/>
    <s v="02 接纳|组织方案设计"/>
    <s v="AHB前重新审视方案"/>
    <s v="正常需求"/>
    <s v="OK"/>
    <s v="OK"/>
    <s v="免"/>
    <m/>
    <m/>
  </r>
  <r>
    <x v="0"/>
    <x v="1"/>
    <s v="22"/>
    <s v="02 接纳|组织方案设计"/>
    <m/>
    <s v="正常需求"/>
    <s v="OK"/>
    <s v="OK"/>
    <s v="免"/>
    <m/>
    <m/>
  </r>
  <r>
    <x v="1"/>
    <x v="0"/>
    <n v="10"/>
    <s v="02 接纳|组织方案设计"/>
    <m/>
    <s v="正常需求"/>
    <m/>
    <m/>
    <m/>
    <m/>
    <m/>
  </r>
  <r>
    <x v="1"/>
    <x v="0"/>
    <n v="15"/>
    <s v="02 接纳|组织方案设计"/>
    <m/>
    <s v="正常需求"/>
    <m/>
    <m/>
    <m/>
    <m/>
    <m/>
  </r>
  <r>
    <x v="1"/>
    <x v="0"/>
    <n v="10"/>
    <s v="02 接纳|组织方案设计"/>
    <m/>
    <s v="正常需求"/>
    <m/>
    <m/>
    <m/>
    <m/>
    <m/>
  </r>
  <r>
    <x v="2"/>
    <x v="0"/>
    <n v="20"/>
    <s v="02 接纳|组织方案设计"/>
    <m/>
    <s v="正常需求"/>
    <s v="待定"/>
    <s v="OK"/>
    <m/>
    <m/>
    <m/>
  </r>
  <r>
    <x v="1"/>
    <x v="0"/>
    <n v="5"/>
    <s v="02 接纳|组织方案设计"/>
    <m/>
    <s v="正常需求"/>
    <s v="OK"/>
    <s v="OK"/>
    <m/>
    <m/>
    <m/>
  </r>
  <r>
    <x v="2"/>
    <x v="0"/>
    <n v="17"/>
    <s v="02 接纳|组织方案设计"/>
    <m/>
    <s v="正常需求"/>
    <s v="待定"/>
    <s v="OK"/>
    <m/>
    <m/>
    <m/>
  </r>
  <r>
    <x v="2"/>
    <x v="0"/>
    <n v="30"/>
    <s v="02 接纳|组织方案设计"/>
    <m/>
    <s v="正常需求"/>
    <s v="待定"/>
    <s v="OK"/>
    <m/>
    <m/>
    <m/>
  </r>
  <r>
    <x v="2"/>
    <x v="0"/>
    <n v="3"/>
    <s v="02 接纳|组织方案设计"/>
    <m/>
    <s v="正常需求"/>
    <s v="OK"/>
    <s v="OK"/>
    <m/>
    <m/>
    <m/>
  </r>
  <r>
    <x v="0"/>
    <x v="1"/>
    <s v="22"/>
    <m/>
    <m/>
    <s v="正常需求"/>
    <s v="OK"/>
    <s v="OK"/>
    <s v="免"/>
    <m/>
    <m/>
  </r>
  <r>
    <x v="0"/>
    <x v="1"/>
    <s v="22"/>
    <m/>
    <m/>
    <s v="正常需求"/>
    <s v="OK"/>
    <s v="OK"/>
    <s v="免"/>
    <m/>
    <m/>
  </r>
  <r>
    <x v="1"/>
    <x v="1"/>
    <n v="22"/>
    <m/>
    <m/>
    <m/>
    <m/>
    <m/>
    <m/>
    <m/>
    <m/>
  </r>
  <r>
    <x v="3"/>
    <x v="2"/>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4" cacheId="1"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5:B15" firstHeaderRow="1" firstDataRow="1" firstDataCol="1"/>
  <pivotFields count="11">
    <pivotField axis="axisRow" showAll="0">
      <items count="5">
        <item x="0"/>
        <item x="2"/>
        <item x="1"/>
        <item x="3"/>
        <item t="default"/>
      </items>
    </pivotField>
    <pivotField axis="axisRow" dataField="1" showAll="0" defaultSubtotal="0">
      <items count="3">
        <item x="1"/>
        <item x="0"/>
        <item x="2"/>
      </items>
    </pivotField>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rowFields count="2">
    <field x="1"/>
    <field x="0"/>
  </rowFields>
  <rowItems count="10">
    <i>
      <x/>
    </i>
    <i r="1">
      <x/>
    </i>
    <i r="1">
      <x v="2"/>
    </i>
    <i>
      <x v="1"/>
    </i>
    <i r="1">
      <x/>
    </i>
    <i r="1">
      <x v="1"/>
    </i>
    <i r="1">
      <x v="2"/>
    </i>
    <i>
      <x v="2"/>
    </i>
    <i r="1">
      <x v="3"/>
    </i>
    <i t="grand">
      <x/>
    </i>
  </rowItems>
  <colItems count="1">
    <i/>
  </colItems>
  <dataFields count="1">
    <dataField name="计数项:产业" fld="1" subtotal="count" baseField="1" baseItem="0" numFmtId="4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5" cacheId="0"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
  <location ref="A1:C18" firstHeaderRow="1" firstDataRow="1" firstDataCol="0"/>
  <pivotFields count="9">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formats count="3">
    <format dxfId="2">
      <pivotArea outline="0" collapsedLevelsAreSubtotals="1" fieldPosition="0"/>
    </format>
    <format dxfId="1">
      <pivotArea dataOnly="0" labelOnly="1" outline="0" axis="axisValues" fieldPosition="0"/>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表1" displayName="表1" ref="A1:AO2" totalsRowShown="0">
  <autoFilter ref="A1:AO2"/>
  <tableColumns count="41">
    <tableColumn id="1" name="Serial No."/>
    <tableColumn id="2" name="Req. Title "/>
    <tableColumn id="3" name="需求描述 Description" dataDxfId="4"/>
    <tableColumn id="4" name="所属区域 Region"/>
    <tableColumn id="5" name="希望该需求交付日期 Expected Offering Date"/>
    <tableColumn id="6" name="当前处理人Current Approvers"/>
    <tableColumn id="7" name="其他参与人 Other Attenders"/>
    <tableColumn id="8" name="所属项目名称 *  Project Name"/>
    <tableColumn id="9" name="需求类型* Type"/>
    <tableColumn id="10" name="_x000a__x000a_当前处理人的初步分析结论 * Draft Analysis Solution" dataDxfId="3"/>
    <tableColumn id="11" name="MDSP工作量(K)*_x000a_Workload"/>
    <tableColumn id="12" name="BFM工作量(K)*_x000a_Workload"/>
    <tableColumn id="13" name="IB工作量(K)*_x000a_Workload"/>
    <tableColumn id="14" name="SAG/NAG工作量(K)*_x000a_Workload"/>
    <tableColumn id="15" name="DLSC/Streaming/DRM工作量(K)*_x000a_Workload"/>
    <tableColumn id="16" name="PortalOne工作量(K)*_x000a_Workload"/>
    <tableColumn id="17" name="iMOST/Promotion工作量(K)*_x000a_Workload"/>
    <tableColumn id="18" name="DNA工作量(K)*_x000a_Workload"/>
    <tableColumn id="19" name="SEE工作量(K)*_x000a_Workload"/>
    <tableColumn id="20" name="Report工作量(K)*_x000a_Workload"/>
    <tableColumn id="21" name="其他工作量(K)*_x000a_Workload"/>
    <tableColumn id="22" name="总工作量(K) Total Workload"/>
    <tableColumn id="23" name="交付时间点 Offering Date（YYYY-MM-DD）*"/>
    <tableColumn id="24" name="解决方案版本号 Solution Version"/>
    <tableColumn id="25" name="MDSP版本号 Version"/>
    <tableColumn id="26" name="SAG/NAG版本号Version"/>
    <tableColumn id="27" name="DLSC/Streaming/DRM版本号Version"/>
    <tableColumn id="28" name="PortalOne版本号Version"/>
    <tableColumn id="29" name="iMOST/Promotion版本号Version"/>
    <tableColumn id="30" name="DNA版本号Version"/>
    <tableColumn id="31" name="SEE版本号Version"/>
    <tableColumn id="32" name="Report版本号Version"/>
    <tableColumn id="33" name="其他版本号Version"/>
    <tableColumn id="34" name="价格 Price"/>
    <tableColumn id="35" name="销售模式 Sale Mode"/>
    <tableColumn id="36" name="是否回落基线*BaseLine Or Not"/>
    <tableColumn id="37" name="会议结论 Meeting Conclusion "/>
    <tableColumn id="38" name="综合结论 RMT/RAT's Conclusion"/>
    <tableColumn id="39" name="是否剔除基线"/>
    <tableColumn id="40" name="RAT月份和第几周"/>
    <tableColumn id="41" name="交付月份"/>
  </tableColumns>
  <tableStyleInfo name="TableStyleMedium9" showFirstColumn="0" showLastColumn="0" showRowStripes="1" showColumnStripes="0"/>
</table>
</file>

<file path=xl/tables/table2.xml><?xml version="1.0" encoding="utf-8"?>
<table xmlns="http://schemas.openxmlformats.org/spreadsheetml/2006/main" id="2" name="表2" displayName="表2" ref="A1:K5" totalsRowShown="0">
  <autoFilter ref="A1:K5"/>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ables/table3.xml><?xml version="1.0" encoding="utf-8"?>
<table xmlns="http://schemas.openxmlformats.org/spreadsheetml/2006/main" id="3" name="表3" displayName="表3" ref="A1:K2" totalsRowShown="0">
  <autoFilter ref="A1:K2"/>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C7EDCC"/>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3" Type="http://schemas.openxmlformats.org/officeDocument/2006/relationships/printerSettings" Target="../printerSettings/printerSettings1.bin"/><Relationship Id="rId3"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7"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2"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2"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6"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1"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5"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0"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4"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9"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2"/>
  <sheetViews>
    <sheetView topLeftCell="M1" workbookViewId="0">
      <selection activeCell="V3" sqref="V3"/>
    </sheetView>
  </sheetViews>
  <sheetFormatPr defaultRowHeight="15"/>
  <cols>
    <col min="1" max="1" width="9.44140625" customWidth="1"/>
    <col min="2" max="2" width="9.6640625" customWidth="1"/>
    <col min="3" max="3" width="18.109375" customWidth="1"/>
    <col min="4" max="4" width="15.109375" customWidth="1"/>
    <col min="5" max="5" width="36" customWidth="1"/>
    <col min="6" max="6" width="24.6640625" customWidth="1"/>
    <col min="7" max="7" width="23.44140625" customWidth="1"/>
    <col min="8" max="8" width="25.109375" customWidth="1"/>
    <col min="9" max="9" width="14.21875" customWidth="1"/>
    <col min="22" max="22" width="23.33203125" customWidth="1"/>
    <col min="23" max="23" width="36.33203125" customWidth="1"/>
    <col min="24" max="24" width="27.109375" customWidth="1"/>
    <col min="25" max="25" width="18.109375" customWidth="1"/>
    <col min="26" max="26" width="20.5546875" customWidth="1"/>
    <col min="27" max="27" width="29.21875" customWidth="1"/>
    <col min="28" max="28" width="20.44140625" customWidth="1"/>
    <col min="29" max="29" width="26.33203125" customWidth="1"/>
    <col min="30" max="30" width="16.6640625" customWidth="1"/>
    <col min="31" max="31" width="15.88671875" customWidth="1"/>
    <col min="32" max="32" width="18.21875" customWidth="1"/>
    <col min="33" max="33" width="16.77734375" customWidth="1"/>
    <col min="34" max="34" width="9.88671875" customWidth="1"/>
    <col min="35" max="35" width="17.88671875" customWidth="1"/>
    <col min="36" max="36" width="25.44140625" customWidth="1"/>
    <col min="37" max="37" width="24.77734375" customWidth="1"/>
    <col min="38" max="38" width="26.33203125" customWidth="1"/>
    <col min="39" max="39" width="13.109375" customWidth="1"/>
    <col min="40" max="40" width="16.109375" customWidth="1"/>
    <col min="41" max="41" width="9.5546875" customWidth="1"/>
  </cols>
  <sheetData>
    <row r="1" spans="1:41">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c r="AD1" t="s">
        <v>43</v>
      </c>
      <c r="AE1" t="s">
        <v>44</v>
      </c>
      <c r="AF1" t="s">
        <v>45</v>
      </c>
      <c r="AG1" t="s">
        <v>46</v>
      </c>
      <c r="AH1" t="s">
        <v>47</v>
      </c>
      <c r="AI1" t="s">
        <v>48</v>
      </c>
      <c r="AJ1" t="s">
        <v>9</v>
      </c>
      <c r="AK1" t="s">
        <v>49</v>
      </c>
      <c r="AL1" t="s">
        <v>8</v>
      </c>
      <c r="AM1" t="s">
        <v>3</v>
      </c>
      <c r="AN1" t="s">
        <v>12</v>
      </c>
      <c r="AO1" t="s">
        <v>2</v>
      </c>
    </row>
    <row r="2" spans="1:41" ht="409.5">
      <c r="A2">
        <v>201402225512</v>
      </c>
      <c r="B2" t="s">
        <v>11</v>
      </c>
      <c r="C2" s="1" t="s">
        <v>50</v>
      </c>
      <c r="D2" t="s">
        <v>51</v>
      </c>
      <c r="E2">
        <v>41759</v>
      </c>
      <c r="F2" t="s">
        <v>7</v>
      </c>
      <c r="G2" t="s">
        <v>52</v>
      </c>
      <c r="H2" t="s">
        <v>4</v>
      </c>
      <c r="I2" t="s">
        <v>6</v>
      </c>
      <c r="J2" s="1" t="s">
        <v>53</v>
      </c>
      <c r="K2">
        <v>8.9</v>
      </c>
      <c r="P2">
        <v>2</v>
      </c>
      <c r="V2">
        <v>10.9</v>
      </c>
      <c r="AI2" t="s">
        <v>10</v>
      </c>
      <c r="AJ2" t="s">
        <v>5</v>
      </c>
      <c r="AK2" t="s">
        <v>54</v>
      </c>
      <c r="AL2" t="s">
        <v>0</v>
      </c>
      <c r="AM2" t="s">
        <v>4</v>
      </c>
      <c r="AN2" t="s">
        <v>13</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65"/>
  <sheetViews>
    <sheetView tabSelected="1" topLeftCell="R1" zoomScale="85" zoomScaleNormal="85" zoomScaleSheetLayoutView="115" workbookViewId="0">
      <pane ySplit="1" topLeftCell="A39" activePane="bottomLeft" state="frozen"/>
      <selection pane="bottomLeft" activeCell="Q42" sqref="Q42"/>
    </sheetView>
  </sheetViews>
  <sheetFormatPr defaultColWidth="8.77734375" defaultRowHeight="32.25" customHeight="1"/>
  <cols>
    <col min="1" max="1" width="12.44140625" style="50" customWidth="1"/>
    <col min="2" max="2" width="28.6640625" style="28" customWidth="1"/>
    <col min="3" max="3" width="54" style="58" customWidth="1"/>
    <col min="4" max="4" width="13.6640625" style="51" customWidth="1"/>
    <col min="5" max="5" width="13.6640625" style="64" customWidth="1"/>
    <col min="6" max="7" width="13.44140625" style="64" customWidth="1"/>
    <col min="8" max="8" width="16" style="60" customWidth="1"/>
    <col min="9" max="10" width="13.21875" style="52" customWidth="1"/>
    <col min="11" max="11" width="13.44140625" style="44" customWidth="1"/>
    <col min="12" max="12" width="23.44140625" style="41" customWidth="1"/>
    <col min="13" max="13" width="18.44140625" style="30" customWidth="1"/>
    <col min="14" max="14" width="14.88671875" style="28" customWidth="1"/>
    <col min="15" max="15" width="16.109375" style="53" customWidth="1"/>
    <col min="16" max="16" width="16" style="29" customWidth="1"/>
    <col min="17" max="17" width="20.6640625" style="29" customWidth="1"/>
    <col min="18" max="18" width="26.33203125" style="54" customWidth="1"/>
    <col min="19" max="19" width="27.33203125" style="55" customWidth="1"/>
    <col min="20" max="20" width="15.44140625" style="56" customWidth="1"/>
    <col min="21" max="21" width="15.6640625" style="56" customWidth="1"/>
    <col min="22" max="22" width="22.5546875" style="65" customWidth="1"/>
    <col min="23" max="23" width="12.21875" style="56" customWidth="1"/>
    <col min="24" max="24" width="17.44140625" style="56" customWidth="1"/>
    <col min="25" max="25" width="8.6640625" style="56" customWidth="1"/>
    <col min="26" max="16384" width="8.77734375" style="57"/>
  </cols>
  <sheetData>
    <row r="1" spans="1:26" s="36" customFormat="1" ht="32.25" customHeight="1">
      <c r="A1" s="38" t="s">
        <v>71</v>
      </c>
      <c r="B1" s="38" t="s">
        <v>89</v>
      </c>
      <c r="C1" s="42" t="s">
        <v>90</v>
      </c>
      <c r="D1" s="38" t="s">
        <v>81</v>
      </c>
      <c r="E1" s="59" t="s">
        <v>86</v>
      </c>
      <c r="F1" s="59" t="s">
        <v>64</v>
      </c>
      <c r="G1" s="63" t="s">
        <v>164</v>
      </c>
      <c r="H1" s="59" t="s">
        <v>91</v>
      </c>
      <c r="I1" s="38" t="s">
        <v>92</v>
      </c>
      <c r="J1" s="38" t="s">
        <v>72</v>
      </c>
      <c r="K1" s="43" t="s">
        <v>135</v>
      </c>
      <c r="L1" s="38" t="s">
        <v>136</v>
      </c>
      <c r="M1" s="62" t="s">
        <v>55</v>
      </c>
      <c r="N1" s="38" t="s">
        <v>88</v>
      </c>
      <c r="O1" s="38" t="s">
        <v>97</v>
      </c>
      <c r="P1" s="38" t="s">
        <v>98</v>
      </c>
      <c r="Q1" s="38" t="s">
        <v>99</v>
      </c>
      <c r="R1" s="38" t="s">
        <v>137</v>
      </c>
      <c r="S1" s="38" t="s">
        <v>138</v>
      </c>
      <c r="T1" s="38" t="s">
        <v>93</v>
      </c>
      <c r="U1" s="38" t="s">
        <v>60</v>
      </c>
      <c r="V1" s="42" t="s">
        <v>94</v>
      </c>
      <c r="W1" s="38" t="s">
        <v>95</v>
      </c>
      <c r="X1" s="38" t="s">
        <v>96</v>
      </c>
      <c r="Y1" s="38" t="s">
        <v>63</v>
      </c>
      <c r="Z1" s="35"/>
    </row>
    <row r="2" spans="1:26" s="31" customFormat="1" ht="21.75" customHeight="1">
      <c r="A2" s="28"/>
      <c r="B2" s="46" t="s">
        <v>78</v>
      </c>
      <c r="C2" s="46" t="s">
        <v>79</v>
      </c>
      <c r="D2" s="46" t="s">
        <v>82</v>
      </c>
      <c r="E2" s="47">
        <v>42795</v>
      </c>
      <c r="F2" s="47"/>
      <c r="G2" s="47"/>
      <c r="H2" s="46" t="s">
        <v>76</v>
      </c>
      <c r="I2" s="46" t="s">
        <v>83</v>
      </c>
      <c r="J2" s="46" t="s">
        <v>74</v>
      </c>
      <c r="K2" s="48">
        <v>6</v>
      </c>
      <c r="L2" s="41" t="s">
        <v>125</v>
      </c>
      <c r="M2" s="30"/>
      <c r="N2" s="28" t="s">
        <v>56</v>
      </c>
      <c r="O2" s="37" t="s">
        <v>161</v>
      </c>
      <c r="P2" s="29" t="s">
        <v>161</v>
      </c>
      <c r="Q2" s="29" t="s">
        <v>124</v>
      </c>
      <c r="R2" s="39" t="s">
        <v>127</v>
      </c>
      <c r="S2" s="40" t="s">
        <v>128</v>
      </c>
      <c r="T2" s="30"/>
      <c r="U2" s="30"/>
      <c r="V2" s="30"/>
      <c r="W2" s="30"/>
      <c r="X2" s="30"/>
      <c r="Y2" s="30"/>
    </row>
    <row r="3" spans="1:26" s="31" customFormat="1" ht="51">
      <c r="A3" s="28"/>
      <c r="B3" s="28" t="s">
        <v>84</v>
      </c>
      <c r="C3" s="28" t="s">
        <v>108</v>
      </c>
      <c r="D3" s="28" t="s">
        <v>85</v>
      </c>
      <c r="E3" s="29">
        <v>42826</v>
      </c>
      <c r="F3" s="29"/>
      <c r="G3" s="29"/>
      <c r="H3" s="28" t="s">
        <v>76</v>
      </c>
      <c r="I3" s="28" t="s">
        <v>83</v>
      </c>
      <c r="J3" s="28" t="s">
        <v>74</v>
      </c>
      <c r="K3" s="44">
        <v>2</v>
      </c>
      <c r="L3" s="41" t="s">
        <v>125</v>
      </c>
      <c r="M3" s="30"/>
      <c r="N3" s="28" t="s">
        <v>56</v>
      </c>
      <c r="O3" s="37" t="s">
        <v>161</v>
      </c>
      <c r="P3" s="29" t="s">
        <v>161</v>
      </c>
      <c r="Q3" s="29" t="s">
        <v>124</v>
      </c>
      <c r="R3" s="39"/>
      <c r="S3" s="40" t="s">
        <v>128</v>
      </c>
      <c r="T3" s="30"/>
      <c r="U3" s="30"/>
      <c r="V3" s="30"/>
      <c r="W3" s="30"/>
      <c r="X3" s="30"/>
      <c r="Y3" s="30"/>
    </row>
    <row r="4" spans="1:26" s="31" customFormat="1" ht="25.5">
      <c r="A4" s="28"/>
      <c r="B4" s="46" t="s">
        <v>100</v>
      </c>
      <c r="C4" s="46" t="s">
        <v>109</v>
      </c>
      <c r="D4" s="46" t="s">
        <v>101</v>
      </c>
      <c r="E4" s="47">
        <v>42758</v>
      </c>
      <c r="F4" s="47"/>
      <c r="G4" s="47"/>
      <c r="H4" s="46" t="s">
        <v>76</v>
      </c>
      <c r="I4" s="46" t="s">
        <v>83</v>
      </c>
      <c r="J4" s="46" t="s">
        <v>74</v>
      </c>
      <c r="K4" s="48" t="s">
        <v>121</v>
      </c>
      <c r="L4" s="41" t="s">
        <v>125</v>
      </c>
      <c r="M4" s="30"/>
      <c r="N4" s="28" t="s">
        <v>56</v>
      </c>
      <c r="O4" s="37" t="s">
        <v>161</v>
      </c>
      <c r="P4" s="29" t="s">
        <v>161</v>
      </c>
      <c r="Q4" s="29" t="s">
        <v>124</v>
      </c>
      <c r="R4" s="39"/>
      <c r="S4" s="40" t="s">
        <v>128</v>
      </c>
      <c r="T4" s="30"/>
      <c r="U4" s="30"/>
      <c r="V4" s="30"/>
      <c r="W4" s="30"/>
      <c r="X4" s="30"/>
      <c r="Y4" s="30"/>
    </row>
    <row r="5" spans="1:26" s="31" customFormat="1" ht="12.75">
      <c r="A5" s="28"/>
      <c r="B5" s="46" t="s">
        <v>102</v>
      </c>
      <c r="C5" s="46" t="s">
        <v>110</v>
      </c>
      <c r="D5" s="46" t="s">
        <v>101</v>
      </c>
      <c r="E5" s="47">
        <v>42826</v>
      </c>
      <c r="F5" s="47"/>
      <c r="G5" s="47"/>
      <c r="H5" s="46" t="s">
        <v>76</v>
      </c>
      <c r="I5" s="46" t="s">
        <v>83</v>
      </c>
      <c r="J5" s="46" t="s">
        <v>74</v>
      </c>
      <c r="K5" s="48" t="s">
        <v>121</v>
      </c>
      <c r="L5" s="41" t="s">
        <v>125</v>
      </c>
      <c r="M5" s="30"/>
      <c r="N5" s="28" t="s">
        <v>56</v>
      </c>
      <c r="O5" s="37" t="s">
        <v>161</v>
      </c>
      <c r="P5" s="29" t="s">
        <v>161</v>
      </c>
      <c r="Q5" s="29" t="s">
        <v>124</v>
      </c>
      <c r="R5" s="39"/>
      <c r="S5" s="40" t="s">
        <v>128</v>
      </c>
      <c r="T5" s="30"/>
      <c r="U5" s="30"/>
      <c r="V5" s="49"/>
      <c r="W5" s="30"/>
      <c r="X5" s="30"/>
      <c r="Y5" s="30"/>
    </row>
    <row r="6" spans="1:26" s="31" customFormat="1" ht="102">
      <c r="A6" s="28"/>
      <c r="B6" s="46" t="s">
        <v>103</v>
      </c>
      <c r="C6" s="46" t="s">
        <v>111</v>
      </c>
      <c r="D6" s="46" t="s">
        <v>101</v>
      </c>
      <c r="E6" s="47">
        <v>42836</v>
      </c>
      <c r="F6" s="47"/>
      <c r="G6" s="47"/>
      <c r="H6" s="46" t="s">
        <v>76</v>
      </c>
      <c r="I6" s="46" t="s">
        <v>83</v>
      </c>
      <c r="J6" s="46" t="s">
        <v>74</v>
      </c>
      <c r="K6" s="48" t="s">
        <v>122</v>
      </c>
      <c r="L6" s="41" t="s">
        <v>125</v>
      </c>
      <c r="M6" s="30"/>
      <c r="N6" s="28" t="s">
        <v>56</v>
      </c>
      <c r="O6" s="37" t="s">
        <v>161</v>
      </c>
      <c r="P6" s="29" t="s">
        <v>161</v>
      </c>
      <c r="Q6" s="29" t="s">
        <v>124</v>
      </c>
      <c r="R6" s="39"/>
      <c r="S6" s="40" t="s">
        <v>128</v>
      </c>
      <c r="T6" s="30"/>
      <c r="U6" s="30"/>
      <c r="V6" s="30"/>
      <c r="W6" s="30"/>
      <c r="X6" s="30"/>
      <c r="Y6" s="30"/>
    </row>
    <row r="7" spans="1:26" s="31" customFormat="1" ht="105">
      <c r="A7" s="28"/>
      <c r="B7" s="28" t="s">
        <v>112</v>
      </c>
      <c r="C7" s="28" t="s">
        <v>87</v>
      </c>
      <c r="D7" s="28" t="s">
        <v>104</v>
      </c>
      <c r="E7" s="29">
        <v>42795</v>
      </c>
      <c r="F7" s="29"/>
      <c r="G7" s="29"/>
      <c r="H7" s="28" t="s">
        <v>76</v>
      </c>
      <c r="I7" s="28" t="s">
        <v>83</v>
      </c>
      <c r="J7" s="28" t="s">
        <v>74</v>
      </c>
      <c r="K7" s="44">
        <v>0</v>
      </c>
      <c r="L7" s="41" t="s">
        <v>126</v>
      </c>
      <c r="M7" s="30"/>
      <c r="N7" s="28" t="s">
        <v>56</v>
      </c>
      <c r="O7" s="37" t="s">
        <v>161</v>
      </c>
      <c r="P7" s="29" t="s">
        <v>161</v>
      </c>
      <c r="Q7" s="29" t="s">
        <v>124</v>
      </c>
      <c r="R7" s="39"/>
      <c r="S7" s="40"/>
      <c r="T7" s="30"/>
      <c r="U7" s="30"/>
      <c r="V7" s="61" t="s">
        <v>141</v>
      </c>
      <c r="W7" s="30"/>
      <c r="X7" s="30"/>
      <c r="Y7" s="30"/>
    </row>
    <row r="8" spans="1:26" s="31" customFormat="1" ht="105">
      <c r="A8" s="28"/>
      <c r="B8" s="28" t="s">
        <v>113</v>
      </c>
      <c r="C8" s="28" t="s">
        <v>114</v>
      </c>
      <c r="D8" s="28" t="s">
        <v>115</v>
      </c>
      <c r="E8" s="29">
        <v>42892</v>
      </c>
      <c r="F8" s="29"/>
      <c r="G8" s="29"/>
      <c r="H8" s="28" t="s">
        <v>76</v>
      </c>
      <c r="I8" s="28" t="s">
        <v>83</v>
      </c>
      <c r="J8" s="28" t="s">
        <v>74</v>
      </c>
      <c r="K8" s="44">
        <v>2</v>
      </c>
      <c r="L8" s="41" t="s">
        <v>125</v>
      </c>
      <c r="M8" s="30"/>
      <c r="N8" s="28" t="s">
        <v>56</v>
      </c>
      <c r="O8" s="37" t="s">
        <v>161</v>
      </c>
      <c r="P8" s="29" t="s">
        <v>161</v>
      </c>
      <c r="Q8" s="29" t="s">
        <v>124</v>
      </c>
      <c r="R8" s="39"/>
      <c r="S8" s="40"/>
      <c r="T8" s="30"/>
      <c r="U8" s="30"/>
      <c r="V8" s="61" t="s">
        <v>141</v>
      </c>
      <c r="W8" s="30" t="s">
        <v>143</v>
      </c>
      <c r="X8" s="30"/>
      <c r="Y8" s="30"/>
    </row>
    <row r="9" spans="1:26" s="31" customFormat="1" ht="105">
      <c r="A9" s="28"/>
      <c r="B9" s="28" t="s">
        <v>105</v>
      </c>
      <c r="C9" s="28" t="s">
        <v>116</v>
      </c>
      <c r="D9" s="28" t="s">
        <v>117</v>
      </c>
      <c r="E9" s="29">
        <v>42789</v>
      </c>
      <c r="F9" s="29"/>
      <c r="G9" s="29"/>
      <c r="H9" s="28" t="s">
        <v>76</v>
      </c>
      <c r="I9" s="28" t="s">
        <v>83</v>
      </c>
      <c r="J9" s="28" t="s">
        <v>74</v>
      </c>
      <c r="K9" s="44" t="s">
        <v>121</v>
      </c>
      <c r="L9" s="41" t="s">
        <v>125</v>
      </c>
      <c r="M9" s="30"/>
      <c r="N9" s="28" t="s">
        <v>56</v>
      </c>
      <c r="O9" s="37" t="s">
        <v>161</v>
      </c>
      <c r="P9" s="29" t="s">
        <v>161</v>
      </c>
      <c r="Q9" s="29" t="s">
        <v>124</v>
      </c>
      <c r="R9" s="39"/>
      <c r="S9" s="40"/>
      <c r="T9" s="30"/>
      <c r="U9" s="30"/>
      <c r="V9" s="61" t="s">
        <v>141</v>
      </c>
      <c r="W9" s="30" t="s">
        <v>146</v>
      </c>
      <c r="X9" s="30"/>
      <c r="Y9" s="30"/>
    </row>
    <row r="10" spans="1:26" s="31" customFormat="1" ht="18" customHeight="1">
      <c r="A10" s="28"/>
      <c r="B10" s="28" t="s">
        <v>106</v>
      </c>
      <c r="C10" s="28" t="s">
        <v>118</v>
      </c>
      <c r="D10" s="28" t="s">
        <v>158</v>
      </c>
      <c r="E10" s="29">
        <v>42900</v>
      </c>
      <c r="F10" s="29"/>
      <c r="G10" s="29"/>
      <c r="H10" s="28" t="s">
        <v>76</v>
      </c>
      <c r="I10" s="28" t="s">
        <v>83</v>
      </c>
      <c r="J10" s="28" t="s">
        <v>74</v>
      </c>
      <c r="K10" s="44" t="s">
        <v>123</v>
      </c>
      <c r="L10" s="41" t="s">
        <v>125</v>
      </c>
      <c r="M10" s="30"/>
      <c r="N10" s="28" t="s">
        <v>56</v>
      </c>
      <c r="O10" s="37" t="s">
        <v>161</v>
      </c>
      <c r="P10" s="29" t="s">
        <v>161</v>
      </c>
      <c r="Q10" s="29" t="s">
        <v>124</v>
      </c>
      <c r="R10" s="39"/>
      <c r="S10" s="40"/>
      <c r="T10" s="30"/>
      <c r="U10" s="30"/>
      <c r="V10" s="61" t="s">
        <v>141</v>
      </c>
      <c r="W10" s="30" t="s">
        <v>144</v>
      </c>
      <c r="X10" s="30"/>
      <c r="Y10" s="30"/>
    </row>
    <row r="11" spans="1:26" s="31" customFormat="1" ht="105">
      <c r="A11" s="28"/>
      <c r="B11" s="28" t="s">
        <v>107</v>
      </c>
      <c r="C11" s="28" t="s">
        <v>132</v>
      </c>
      <c r="D11" s="28" t="s">
        <v>158</v>
      </c>
      <c r="E11" s="29">
        <v>42900</v>
      </c>
      <c r="F11" s="29"/>
      <c r="G11" s="29"/>
      <c r="H11" s="28" t="s">
        <v>76</v>
      </c>
      <c r="I11" s="28" t="s">
        <v>83</v>
      </c>
      <c r="J11" s="28" t="s">
        <v>74</v>
      </c>
      <c r="K11" s="44">
        <v>8</v>
      </c>
      <c r="L11" s="41" t="s">
        <v>126</v>
      </c>
      <c r="M11" s="30"/>
      <c r="N11" s="28" t="s">
        <v>56</v>
      </c>
      <c r="O11" s="37" t="s">
        <v>161</v>
      </c>
      <c r="P11" s="29" t="s">
        <v>161</v>
      </c>
      <c r="Q11" s="29" t="s">
        <v>124</v>
      </c>
      <c r="R11" s="39"/>
      <c r="S11" s="40"/>
      <c r="T11" s="30"/>
      <c r="U11" s="30"/>
      <c r="V11" s="61" t="s">
        <v>141</v>
      </c>
      <c r="W11" s="30" t="s">
        <v>145</v>
      </c>
      <c r="X11" s="30"/>
      <c r="Y11" s="30"/>
    </row>
    <row r="12" spans="1:26" s="31" customFormat="1" ht="105">
      <c r="A12" s="28"/>
      <c r="B12" s="28" t="s">
        <v>133</v>
      </c>
      <c r="C12" s="28" t="s">
        <v>119</v>
      </c>
      <c r="D12" s="28" t="s">
        <v>158</v>
      </c>
      <c r="E12" s="29">
        <v>42900</v>
      </c>
      <c r="F12" s="29"/>
      <c r="G12" s="29"/>
      <c r="H12" s="28" t="s">
        <v>76</v>
      </c>
      <c r="I12" s="28" t="s">
        <v>83</v>
      </c>
      <c r="J12" s="28" t="s">
        <v>74</v>
      </c>
      <c r="K12" s="44">
        <v>5</v>
      </c>
      <c r="L12" s="41" t="s">
        <v>125</v>
      </c>
      <c r="M12" s="30"/>
      <c r="N12" s="28" t="s">
        <v>56</v>
      </c>
      <c r="O12" s="37" t="s">
        <v>161</v>
      </c>
      <c r="P12" s="29" t="s">
        <v>161</v>
      </c>
      <c r="Q12" s="29" t="s">
        <v>124</v>
      </c>
      <c r="R12" s="39"/>
      <c r="S12" s="40"/>
      <c r="T12" s="30"/>
      <c r="U12" s="30"/>
      <c r="V12" s="61" t="s">
        <v>141</v>
      </c>
      <c r="W12" s="30" t="s">
        <v>147</v>
      </c>
      <c r="X12" s="30"/>
      <c r="Y12" s="30"/>
    </row>
    <row r="13" spans="1:26" s="31" customFormat="1" ht="36" customHeight="1">
      <c r="A13" s="28"/>
      <c r="B13" s="28" t="s">
        <v>134</v>
      </c>
      <c r="C13" s="28" t="s">
        <v>120</v>
      </c>
      <c r="D13" s="28" t="s">
        <v>158</v>
      </c>
      <c r="E13" s="29">
        <v>42826</v>
      </c>
      <c r="F13" s="29"/>
      <c r="G13" s="29"/>
      <c r="H13" s="28" t="s">
        <v>76</v>
      </c>
      <c r="I13" s="28" t="s">
        <v>83</v>
      </c>
      <c r="J13" s="28" t="s">
        <v>74</v>
      </c>
      <c r="K13" s="44">
        <v>60</v>
      </c>
      <c r="L13" s="41" t="s">
        <v>125</v>
      </c>
      <c r="M13" s="30"/>
      <c r="N13" s="28" t="s">
        <v>56</v>
      </c>
      <c r="O13" s="37" t="s">
        <v>161</v>
      </c>
      <c r="P13" s="29" t="s">
        <v>161</v>
      </c>
      <c r="Q13" s="29" t="s">
        <v>124</v>
      </c>
      <c r="R13" s="39"/>
      <c r="S13" s="40" t="s">
        <v>129</v>
      </c>
      <c r="T13" s="30"/>
      <c r="U13" s="30"/>
      <c r="V13" s="61" t="s">
        <v>141</v>
      </c>
      <c r="W13" s="30" t="s">
        <v>142</v>
      </c>
      <c r="X13" s="30"/>
      <c r="Y13" s="30"/>
    </row>
    <row r="14" spans="1:26" ht="33.6" customHeight="1">
      <c r="B14" s="45" t="s">
        <v>130</v>
      </c>
      <c r="C14" s="28" t="s">
        <v>131</v>
      </c>
      <c r="D14" s="51" t="s">
        <v>139</v>
      </c>
      <c r="E14" s="29">
        <v>42905</v>
      </c>
      <c r="G14" s="29">
        <v>42912</v>
      </c>
      <c r="H14" s="60" t="s">
        <v>76</v>
      </c>
      <c r="I14" s="52" t="s">
        <v>140</v>
      </c>
      <c r="J14" s="52" t="s">
        <v>74</v>
      </c>
      <c r="K14" s="44">
        <v>7</v>
      </c>
      <c r="L14" s="41" t="s">
        <v>125</v>
      </c>
      <c r="M14" s="30" t="s">
        <v>162</v>
      </c>
      <c r="N14" s="28" t="s">
        <v>56</v>
      </c>
      <c r="O14" s="53" t="s">
        <v>161</v>
      </c>
      <c r="P14" s="29" t="s">
        <v>161</v>
      </c>
      <c r="Q14" s="29" t="s">
        <v>124</v>
      </c>
    </row>
    <row r="15" spans="1:26" ht="68.45" customHeight="1">
      <c r="B15" s="45" t="s">
        <v>148</v>
      </c>
      <c r="C15" s="58" t="s">
        <v>149</v>
      </c>
      <c r="D15" s="51" t="s">
        <v>150</v>
      </c>
      <c r="E15" s="29">
        <v>42795</v>
      </c>
      <c r="G15" s="29">
        <v>42912</v>
      </c>
      <c r="H15" s="60" t="s">
        <v>76</v>
      </c>
      <c r="I15" s="52" t="s">
        <v>83</v>
      </c>
      <c r="J15" s="52" t="s">
        <v>74</v>
      </c>
      <c r="K15" s="44">
        <v>45</v>
      </c>
      <c r="L15" s="41" t="s">
        <v>125</v>
      </c>
      <c r="N15" s="28" t="s">
        <v>56</v>
      </c>
      <c r="O15" s="53" t="s">
        <v>161</v>
      </c>
      <c r="P15" s="29" t="s">
        <v>161</v>
      </c>
      <c r="Q15" s="29" t="s">
        <v>124</v>
      </c>
    </row>
    <row r="16" spans="1:26" ht="62.25" customHeight="1">
      <c r="B16" s="45" t="s">
        <v>151</v>
      </c>
      <c r="C16" s="45" t="s">
        <v>152</v>
      </c>
      <c r="D16" s="51" t="s">
        <v>158</v>
      </c>
      <c r="E16" s="29">
        <v>42826</v>
      </c>
      <c r="G16" s="29">
        <v>42912</v>
      </c>
      <c r="H16" s="60" t="s">
        <v>76</v>
      </c>
      <c r="I16" s="52" t="s">
        <v>83</v>
      </c>
      <c r="J16" s="52" t="s">
        <v>74</v>
      </c>
      <c r="K16" s="44">
        <v>45</v>
      </c>
      <c r="L16" s="41" t="s">
        <v>125</v>
      </c>
      <c r="N16" s="28" t="s">
        <v>56</v>
      </c>
      <c r="O16" s="53" t="s">
        <v>161</v>
      </c>
      <c r="P16" s="29" t="s">
        <v>161</v>
      </c>
      <c r="Q16" s="29" t="s">
        <v>124</v>
      </c>
    </row>
    <row r="17" spans="1:27" s="16" customFormat="1" ht="45" customHeight="1">
      <c r="A17" s="50"/>
      <c r="B17" s="45" t="s">
        <v>153</v>
      </c>
      <c r="C17" s="45" t="s">
        <v>160</v>
      </c>
      <c r="D17" s="51" t="s">
        <v>154</v>
      </c>
      <c r="E17" s="29">
        <v>42905</v>
      </c>
      <c r="F17" s="29">
        <v>42947</v>
      </c>
      <c r="G17" s="29">
        <v>42912</v>
      </c>
      <c r="H17" s="60" t="s">
        <v>77</v>
      </c>
      <c r="I17" s="52" t="s">
        <v>83</v>
      </c>
      <c r="J17" s="52" t="s">
        <v>75</v>
      </c>
      <c r="K17" s="39" t="s">
        <v>156</v>
      </c>
      <c r="L17" s="41" t="s">
        <v>125</v>
      </c>
      <c r="M17" s="30" t="s">
        <v>163</v>
      </c>
      <c r="N17" s="28" t="s">
        <v>56</v>
      </c>
      <c r="O17" s="53" t="s">
        <v>157</v>
      </c>
      <c r="P17" s="53" t="s">
        <v>157</v>
      </c>
      <c r="Q17" s="29" t="s">
        <v>124</v>
      </c>
      <c r="R17" s="54"/>
      <c r="S17" s="55"/>
      <c r="T17" s="30"/>
      <c r="U17" s="30"/>
      <c r="V17" s="30"/>
      <c r="W17" s="30"/>
      <c r="X17" s="30"/>
      <c r="Y17" s="30"/>
      <c r="Z17" s="57"/>
      <c r="AA17" s="57"/>
    </row>
    <row r="18" spans="1:27" s="16" customFormat="1" ht="49.5">
      <c r="A18" s="50"/>
      <c r="B18" s="45" t="s">
        <v>155</v>
      </c>
      <c r="C18" s="45" t="s">
        <v>159</v>
      </c>
      <c r="D18" s="51" t="s">
        <v>154</v>
      </c>
      <c r="E18" s="29">
        <v>42905</v>
      </c>
      <c r="F18" s="29">
        <v>42947</v>
      </c>
      <c r="G18" s="29">
        <v>42912</v>
      </c>
      <c r="H18" s="60" t="s">
        <v>77</v>
      </c>
      <c r="I18" s="52" t="s">
        <v>83</v>
      </c>
      <c r="J18" s="52" t="s">
        <v>75</v>
      </c>
      <c r="K18" s="39" t="s">
        <v>156</v>
      </c>
      <c r="L18" s="41" t="s">
        <v>125</v>
      </c>
      <c r="M18" s="30"/>
      <c r="N18" s="28" t="s">
        <v>56</v>
      </c>
      <c r="O18" s="53" t="s">
        <v>157</v>
      </c>
      <c r="P18" s="53" t="s">
        <v>157</v>
      </c>
      <c r="Q18" s="29" t="s">
        <v>124</v>
      </c>
      <c r="R18" s="54"/>
      <c r="S18" s="55"/>
      <c r="T18" s="30"/>
      <c r="U18" s="30"/>
      <c r="V18" s="30"/>
      <c r="W18" s="30"/>
      <c r="X18" s="30"/>
      <c r="Y18" s="30"/>
      <c r="Z18" s="57"/>
      <c r="AA18" s="57"/>
    </row>
    <row r="19" spans="1:27" ht="32.25" customHeight="1">
      <c r="B19" s="28" t="s">
        <v>165</v>
      </c>
      <c r="C19" s="58" t="s">
        <v>166</v>
      </c>
      <c r="D19" s="51" t="s">
        <v>167</v>
      </c>
      <c r="E19" s="29">
        <v>42915</v>
      </c>
      <c r="F19" s="64">
        <v>42946</v>
      </c>
      <c r="G19" s="64">
        <v>42919</v>
      </c>
      <c r="H19" s="60" t="s">
        <v>167</v>
      </c>
      <c r="I19" s="52" t="s">
        <v>140</v>
      </c>
      <c r="J19" s="52" t="s">
        <v>74</v>
      </c>
      <c r="K19" s="44">
        <v>10</v>
      </c>
      <c r="L19" s="41" t="s">
        <v>125</v>
      </c>
      <c r="N19" s="30" t="s">
        <v>56</v>
      </c>
      <c r="O19" s="28"/>
      <c r="P19" s="53"/>
    </row>
    <row r="20" spans="1:27" ht="32.25" customHeight="1">
      <c r="B20" s="28" t="s">
        <v>169</v>
      </c>
      <c r="C20" s="58" t="s">
        <v>170</v>
      </c>
      <c r="D20" s="51" t="s">
        <v>167</v>
      </c>
      <c r="E20" s="29">
        <v>42915</v>
      </c>
      <c r="F20" s="64">
        <v>42946</v>
      </c>
      <c r="G20" s="64">
        <v>42919</v>
      </c>
      <c r="H20" s="60" t="s">
        <v>167</v>
      </c>
      <c r="I20" s="52" t="s">
        <v>140</v>
      </c>
      <c r="J20" s="52" t="s">
        <v>74</v>
      </c>
      <c r="K20" s="44">
        <v>15</v>
      </c>
      <c r="L20" s="41" t="s">
        <v>125</v>
      </c>
      <c r="N20" s="30" t="s">
        <v>56</v>
      </c>
      <c r="O20" s="28"/>
      <c r="P20" s="53"/>
    </row>
    <row r="21" spans="1:27" ht="32.25" customHeight="1">
      <c r="B21" s="28" t="s">
        <v>171</v>
      </c>
      <c r="C21" s="58" t="s">
        <v>172</v>
      </c>
      <c r="D21" s="51" t="s">
        <v>167</v>
      </c>
      <c r="E21" s="29">
        <v>42915</v>
      </c>
      <c r="F21" s="64">
        <v>42946</v>
      </c>
      <c r="G21" s="64">
        <v>42919</v>
      </c>
      <c r="H21" s="60" t="s">
        <v>167</v>
      </c>
      <c r="I21" s="52" t="s">
        <v>140</v>
      </c>
      <c r="J21" s="52" t="s">
        <v>74</v>
      </c>
      <c r="K21" s="44">
        <v>10</v>
      </c>
      <c r="L21" s="41" t="s">
        <v>125</v>
      </c>
      <c r="N21" s="30" t="s">
        <v>56</v>
      </c>
      <c r="O21" s="28"/>
      <c r="P21" s="53"/>
    </row>
    <row r="22" spans="1:27" ht="32.25" customHeight="1">
      <c r="B22" s="28" t="s">
        <v>173</v>
      </c>
      <c r="C22" s="58" t="s">
        <v>192</v>
      </c>
      <c r="D22" s="51" t="s">
        <v>174</v>
      </c>
      <c r="E22" s="64">
        <v>42913</v>
      </c>
      <c r="F22" s="64">
        <v>42946</v>
      </c>
      <c r="G22" s="64">
        <v>42919</v>
      </c>
      <c r="H22" s="60" t="s">
        <v>76</v>
      </c>
      <c r="I22" s="52" t="s">
        <v>175</v>
      </c>
      <c r="J22" s="52" t="s">
        <v>74</v>
      </c>
      <c r="K22" s="44">
        <v>20</v>
      </c>
      <c r="L22" s="41" t="s">
        <v>125</v>
      </c>
      <c r="N22" s="30" t="s">
        <v>56</v>
      </c>
      <c r="O22" s="28" t="s">
        <v>176</v>
      </c>
      <c r="P22" s="53" t="s">
        <v>161</v>
      </c>
      <c r="T22" s="56" t="s">
        <v>168</v>
      </c>
      <c r="V22" s="66" t="s">
        <v>177</v>
      </c>
      <c r="W22" s="56" t="s">
        <v>178</v>
      </c>
    </row>
    <row r="23" spans="1:27" ht="32.25" customHeight="1">
      <c r="B23" s="28" t="s">
        <v>179</v>
      </c>
      <c r="C23" s="58" t="s">
        <v>180</v>
      </c>
      <c r="D23" s="51" t="s">
        <v>76</v>
      </c>
      <c r="E23" s="64">
        <v>42913</v>
      </c>
      <c r="F23" s="64">
        <v>42946</v>
      </c>
      <c r="G23" s="64">
        <v>42919</v>
      </c>
      <c r="H23" s="60" t="s">
        <v>76</v>
      </c>
      <c r="I23" s="52" t="s">
        <v>140</v>
      </c>
      <c r="J23" s="52" t="s">
        <v>74</v>
      </c>
      <c r="K23" s="44">
        <v>5</v>
      </c>
      <c r="L23" s="41" t="s">
        <v>125</v>
      </c>
      <c r="N23" s="30" t="s">
        <v>56</v>
      </c>
      <c r="O23" s="28" t="s">
        <v>161</v>
      </c>
      <c r="P23" s="53" t="s">
        <v>161</v>
      </c>
      <c r="T23" s="56" t="s">
        <v>168</v>
      </c>
      <c r="V23" s="66" t="s">
        <v>177</v>
      </c>
      <c r="W23" s="56" t="s">
        <v>181</v>
      </c>
    </row>
    <row r="24" spans="1:27" ht="32.25" customHeight="1">
      <c r="B24" s="28" t="s">
        <v>182</v>
      </c>
      <c r="C24" s="58" t="s">
        <v>183</v>
      </c>
      <c r="D24" s="51" t="s">
        <v>158</v>
      </c>
      <c r="E24" s="64">
        <v>42913</v>
      </c>
      <c r="F24" s="64">
        <v>42946</v>
      </c>
      <c r="G24" s="64">
        <v>42919</v>
      </c>
      <c r="H24" s="60" t="s">
        <v>76</v>
      </c>
      <c r="I24" s="52" t="s">
        <v>175</v>
      </c>
      <c r="J24" s="52" t="s">
        <v>74</v>
      </c>
      <c r="K24" s="44">
        <v>17</v>
      </c>
      <c r="L24" s="41" t="s">
        <v>125</v>
      </c>
      <c r="N24" s="30" t="s">
        <v>56</v>
      </c>
      <c r="O24" s="28" t="s">
        <v>176</v>
      </c>
      <c r="P24" s="53" t="s">
        <v>161</v>
      </c>
      <c r="T24" s="56" t="s">
        <v>168</v>
      </c>
      <c r="V24" s="66" t="s">
        <v>177</v>
      </c>
      <c r="W24" s="56" t="s">
        <v>184</v>
      </c>
    </row>
    <row r="25" spans="1:27" ht="32.25" customHeight="1">
      <c r="B25" s="28" t="s">
        <v>185</v>
      </c>
      <c r="C25" s="58" t="s">
        <v>186</v>
      </c>
      <c r="D25" s="51" t="s">
        <v>158</v>
      </c>
      <c r="E25" s="64">
        <v>42913</v>
      </c>
      <c r="F25" s="64">
        <v>42946</v>
      </c>
      <c r="G25" s="64">
        <v>42919</v>
      </c>
      <c r="H25" s="60" t="s">
        <v>76</v>
      </c>
      <c r="I25" s="52" t="s">
        <v>175</v>
      </c>
      <c r="J25" s="52" t="s">
        <v>74</v>
      </c>
      <c r="K25" s="44">
        <v>30</v>
      </c>
      <c r="L25" s="41" t="s">
        <v>125</v>
      </c>
      <c r="N25" s="30" t="s">
        <v>56</v>
      </c>
      <c r="O25" s="28" t="s">
        <v>176</v>
      </c>
      <c r="P25" s="53" t="s">
        <v>161</v>
      </c>
      <c r="T25" s="56" t="s">
        <v>168</v>
      </c>
      <c r="V25" s="66" t="s">
        <v>177</v>
      </c>
      <c r="W25" s="79" t="s">
        <v>187</v>
      </c>
    </row>
    <row r="26" spans="1:27" ht="32.25" customHeight="1">
      <c r="B26" s="28" t="s">
        <v>188</v>
      </c>
      <c r="C26" s="58" t="s">
        <v>189</v>
      </c>
      <c r="D26" s="51" t="s">
        <v>190</v>
      </c>
      <c r="E26" s="64">
        <v>42913</v>
      </c>
      <c r="F26" s="64">
        <v>42946</v>
      </c>
      <c r="G26" s="64">
        <v>42919</v>
      </c>
      <c r="H26" s="60" t="s">
        <v>76</v>
      </c>
      <c r="I26" s="52" t="s">
        <v>175</v>
      </c>
      <c r="J26" s="52" t="s">
        <v>74</v>
      </c>
      <c r="K26" s="44">
        <v>3</v>
      </c>
      <c r="L26" s="41" t="s">
        <v>125</v>
      </c>
      <c r="N26" s="30" t="s">
        <v>56</v>
      </c>
      <c r="O26" s="28" t="s">
        <v>161</v>
      </c>
      <c r="P26" s="53" t="s">
        <v>161</v>
      </c>
      <c r="T26" s="56" t="s">
        <v>168</v>
      </c>
      <c r="V26" s="66" t="s">
        <v>177</v>
      </c>
      <c r="W26" s="79" t="s">
        <v>191</v>
      </c>
    </row>
    <row r="27" spans="1:27" s="16" customFormat="1" ht="45" customHeight="1">
      <c r="A27" s="50"/>
      <c r="B27" s="67" t="s">
        <v>200</v>
      </c>
      <c r="C27" s="51" t="s">
        <v>198</v>
      </c>
      <c r="D27" s="51" t="s">
        <v>154</v>
      </c>
      <c r="E27" s="29">
        <v>42918</v>
      </c>
      <c r="F27" s="29">
        <v>42978</v>
      </c>
      <c r="G27" s="29">
        <v>42926</v>
      </c>
      <c r="H27" s="60" t="s">
        <v>77</v>
      </c>
      <c r="I27" s="52" t="s">
        <v>83</v>
      </c>
      <c r="J27" s="52" t="s">
        <v>75</v>
      </c>
      <c r="K27" s="39" t="s">
        <v>156</v>
      </c>
      <c r="L27" s="41" t="s">
        <v>125</v>
      </c>
      <c r="M27" s="30"/>
      <c r="N27" s="28" t="s">
        <v>56</v>
      </c>
      <c r="O27" s="53" t="s">
        <v>157</v>
      </c>
      <c r="P27" s="53" t="s">
        <v>157</v>
      </c>
      <c r="Q27" s="29" t="s">
        <v>124</v>
      </c>
      <c r="R27" s="54"/>
      <c r="S27" s="55"/>
      <c r="T27" s="56" t="s">
        <v>168</v>
      </c>
      <c r="U27" s="30"/>
      <c r="V27" s="30"/>
      <c r="W27" s="79"/>
      <c r="X27" s="30"/>
      <c r="Y27" s="30"/>
      <c r="Z27" s="57"/>
      <c r="AA27" s="57"/>
    </row>
    <row r="28" spans="1:27" s="16" customFormat="1" ht="14.25">
      <c r="A28" s="50"/>
      <c r="B28" s="67" t="s">
        <v>196</v>
      </c>
      <c r="C28" s="51" t="s">
        <v>199</v>
      </c>
      <c r="D28" s="51" t="s">
        <v>154</v>
      </c>
      <c r="E28" s="29">
        <v>42918</v>
      </c>
      <c r="F28" s="29">
        <v>42978</v>
      </c>
      <c r="G28" s="29">
        <v>42926</v>
      </c>
      <c r="H28" s="60" t="s">
        <v>77</v>
      </c>
      <c r="I28" s="52" t="s">
        <v>83</v>
      </c>
      <c r="J28" s="52" t="s">
        <v>75</v>
      </c>
      <c r="K28" s="39" t="s">
        <v>156</v>
      </c>
      <c r="L28" s="41" t="s">
        <v>125</v>
      </c>
      <c r="M28" s="30"/>
      <c r="N28" s="28" t="s">
        <v>56</v>
      </c>
      <c r="O28" s="53" t="s">
        <v>157</v>
      </c>
      <c r="P28" s="53" t="s">
        <v>157</v>
      </c>
      <c r="Q28" s="29" t="s">
        <v>124</v>
      </c>
      <c r="R28" s="54"/>
      <c r="S28" s="55"/>
      <c r="T28" s="56" t="s">
        <v>168</v>
      </c>
      <c r="U28" s="30"/>
      <c r="V28" s="30"/>
      <c r="W28" s="79"/>
      <c r="X28" s="30"/>
      <c r="Y28" s="30"/>
      <c r="Z28" s="57"/>
      <c r="AA28" s="57"/>
    </row>
    <row r="29" spans="1:27" ht="32.25" customHeight="1">
      <c r="B29" s="68" t="s">
        <v>193</v>
      </c>
      <c r="C29" s="51" t="s">
        <v>197</v>
      </c>
      <c r="D29" s="51" t="s">
        <v>194</v>
      </c>
      <c r="E29" s="29">
        <v>42918</v>
      </c>
      <c r="F29" s="29">
        <v>42978</v>
      </c>
      <c r="G29" s="29">
        <v>42926</v>
      </c>
      <c r="H29" s="60" t="s">
        <v>77</v>
      </c>
      <c r="I29" s="52" t="s">
        <v>140</v>
      </c>
      <c r="J29" s="52" t="s">
        <v>75</v>
      </c>
      <c r="K29" s="44">
        <v>22</v>
      </c>
      <c r="L29" s="41" t="s">
        <v>125</v>
      </c>
      <c r="N29" s="28" t="s">
        <v>56</v>
      </c>
      <c r="O29" s="53" t="s">
        <v>157</v>
      </c>
      <c r="P29" s="53" t="s">
        <v>157</v>
      </c>
      <c r="Q29" s="29" t="s">
        <v>124</v>
      </c>
      <c r="T29" s="56" t="s">
        <v>168</v>
      </c>
      <c r="W29" s="79"/>
    </row>
    <row r="30" spans="1:27" ht="32.25" customHeight="1">
      <c r="B30" s="45" t="s">
        <v>208</v>
      </c>
      <c r="C30" s="58" t="s">
        <v>209</v>
      </c>
      <c r="D30" s="51" t="s">
        <v>194</v>
      </c>
      <c r="E30" s="29">
        <v>42918</v>
      </c>
      <c r="F30" s="29">
        <v>42978</v>
      </c>
      <c r="G30" s="29">
        <v>42926</v>
      </c>
      <c r="H30" s="60" t="s">
        <v>77</v>
      </c>
      <c r="I30" s="52" t="s">
        <v>140</v>
      </c>
      <c r="J30" s="52" t="s">
        <v>75</v>
      </c>
      <c r="K30" s="44">
        <v>11</v>
      </c>
      <c r="L30" s="41" t="s">
        <v>125</v>
      </c>
      <c r="N30" s="28" t="s">
        <v>56</v>
      </c>
      <c r="O30" s="53" t="s">
        <v>157</v>
      </c>
      <c r="P30" s="53" t="s">
        <v>157</v>
      </c>
      <c r="Q30" s="29" t="s">
        <v>124</v>
      </c>
      <c r="T30" s="56" t="s">
        <v>168</v>
      </c>
      <c r="W30" s="79"/>
    </row>
    <row r="31" spans="1:27" ht="102.6" customHeight="1">
      <c r="B31" s="28" t="s">
        <v>210</v>
      </c>
      <c r="C31" s="58" t="s">
        <v>219</v>
      </c>
      <c r="D31" s="51" t="s">
        <v>158</v>
      </c>
      <c r="E31" s="64">
        <v>42918</v>
      </c>
      <c r="F31" s="64">
        <v>42946</v>
      </c>
      <c r="G31" s="64">
        <v>42933</v>
      </c>
      <c r="H31" s="60" t="s">
        <v>76</v>
      </c>
      <c r="I31" s="52" t="s">
        <v>175</v>
      </c>
      <c r="J31" s="52" t="s">
        <v>74</v>
      </c>
      <c r="K31" s="44">
        <v>18</v>
      </c>
      <c r="L31" s="41" t="s">
        <v>125</v>
      </c>
      <c r="N31" s="28" t="s">
        <v>56</v>
      </c>
      <c r="O31" s="53" t="s">
        <v>157</v>
      </c>
      <c r="P31" s="53" t="s">
        <v>157</v>
      </c>
      <c r="Q31" s="29" t="s">
        <v>124</v>
      </c>
      <c r="R31" s="54" t="s">
        <v>127</v>
      </c>
      <c r="T31" s="56" t="s">
        <v>168</v>
      </c>
      <c r="V31" s="66" t="s">
        <v>216</v>
      </c>
      <c r="W31" s="79">
        <v>4.0999999999999996</v>
      </c>
    </row>
    <row r="32" spans="1:27" ht="103.9" customHeight="1">
      <c r="B32" s="28" t="s">
        <v>211</v>
      </c>
      <c r="C32" s="58" t="s">
        <v>220</v>
      </c>
      <c r="D32" s="51" t="s">
        <v>158</v>
      </c>
      <c r="E32" s="64">
        <v>42918</v>
      </c>
      <c r="F32" s="64">
        <v>42946</v>
      </c>
      <c r="G32" s="64">
        <v>42933</v>
      </c>
      <c r="H32" s="60" t="s">
        <v>76</v>
      </c>
      <c r="I32" s="52" t="s">
        <v>175</v>
      </c>
      <c r="J32" s="52" t="s">
        <v>74</v>
      </c>
      <c r="K32" s="44">
        <v>23</v>
      </c>
      <c r="L32" s="41" t="s">
        <v>125</v>
      </c>
      <c r="N32" s="28" t="s">
        <v>56</v>
      </c>
      <c r="O32" s="53" t="s">
        <v>157</v>
      </c>
      <c r="P32" s="53" t="s">
        <v>157</v>
      </c>
      <c r="Q32" s="29" t="s">
        <v>124</v>
      </c>
      <c r="R32" s="54" t="s">
        <v>127</v>
      </c>
      <c r="T32" s="56" t="s">
        <v>168</v>
      </c>
      <c r="V32" s="66" t="s">
        <v>216</v>
      </c>
      <c r="W32" s="79" t="s">
        <v>143</v>
      </c>
    </row>
    <row r="33" spans="1:27" ht="146.44999999999999" customHeight="1">
      <c r="B33" s="28" t="s">
        <v>212</v>
      </c>
      <c r="C33" s="58" t="s">
        <v>213</v>
      </c>
      <c r="D33" s="51" t="s">
        <v>158</v>
      </c>
      <c r="E33" s="64">
        <v>42918</v>
      </c>
      <c r="F33" s="64">
        <v>42946</v>
      </c>
      <c r="G33" s="64">
        <v>42933</v>
      </c>
      <c r="H33" s="60" t="s">
        <v>76</v>
      </c>
      <c r="I33" s="52" t="s">
        <v>175</v>
      </c>
      <c r="J33" s="52" t="s">
        <v>74</v>
      </c>
      <c r="K33" s="44">
        <v>30</v>
      </c>
      <c r="L33" s="41" t="s">
        <v>125</v>
      </c>
      <c r="N33" s="28" t="s">
        <v>56</v>
      </c>
      <c r="O33" s="53" t="s">
        <v>157</v>
      </c>
      <c r="P33" s="53" t="s">
        <v>157</v>
      </c>
      <c r="Q33" s="29" t="s">
        <v>124</v>
      </c>
      <c r="R33" s="54" t="s">
        <v>127</v>
      </c>
      <c r="T33" s="56" t="s">
        <v>168</v>
      </c>
      <c r="V33" s="66" t="s">
        <v>216</v>
      </c>
      <c r="W33" s="79" t="s">
        <v>144</v>
      </c>
    </row>
    <row r="34" spans="1:27" ht="63" customHeight="1">
      <c r="B34" s="28" t="s">
        <v>214</v>
      </c>
      <c r="C34" s="58" t="s">
        <v>215</v>
      </c>
      <c r="D34" s="51" t="s">
        <v>217</v>
      </c>
      <c r="E34" s="64">
        <v>42918</v>
      </c>
      <c r="F34" s="64">
        <v>42946</v>
      </c>
      <c r="G34" s="64">
        <v>42933</v>
      </c>
      <c r="H34" s="60" t="s">
        <v>76</v>
      </c>
      <c r="I34" s="52" t="s">
        <v>175</v>
      </c>
      <c r="J34" s="52" t="s">
        <v>74</v>
      </c>
      <c r="K34" s="44">
        <v>35</v>
      </c>
      <c r="L34" s="41" t="s">
        <v>125</v>
      </c>
      <c r="N34" s="28" t="s">
        <v>56</v>
      </c>
      <c r="O34" s="53" t="s">
        <v>157</v>
      </c>
      <c r="P34" s="53" t="s">
        <v>157</v>
      </c>
      <c r="Q34" s="29" t="s">
        <v>124</v>
      </c>
      <c r="T34" s="56" t="s">
        <v>168</v>
      </c>
      <c r="V34" s="66" t="s">
        <v>216</v>
      </c>
      <c r="W34" s="79" t="s">
        <v>145</v>
      </c>
    </row>
    <row r="35" spans="1:27" ht="115.15" customHeight="1">
      <c r="B35" s="28" t="s">
        <v>218</v>
      </c>
      <c r="C35" s="58" t="s">
        <v>221</v>
      </c>
      <c r="D35" s="51" t="s">
        <v>194</v>
      </c>
      <c r="E35" s="29">
        <v>42926</v>
      </c>
      <c r="F35" s="29">
        <v>42978</v>
      </c>
      <c r="G35" s="29">
        <v>42933</v>
      </c>
      <c r="H35" s="60" t="s">
        <v>77</v>
      </c>
      <c r="I35" s="52" t="s">
        <v>140</v>
      </c>
      <c r="J35" s="52" t="s">
        <v>75</v>
      </c>
      <c r="K35" s="44">
        <v>10</v>
      </c>
      <c r="L35" s="41" t="s">
        <v>222</v>
      </c>
      <c r="M35" s="30" t="s">
        <v>223</v>
      </c>
      <c r="W35" s="79"/>
    </row>
    <row r="36" spans="1:27" ht="121.9" customHeight="1">
      <c r="B36" s="28" t="s">
        <v>224</v>
      </c>
      <c r="C36" s="58" t="s">
        <v>225</v>
      </c>
      <c r="D36" s="51" t="s">
        <v>76</v>
      </c>
      <c r="E36" s="64">
        <v>42933</v>
      </c>
      <c r="F36" s="64">
        <v>42978</v>
      </c>
      <c r="G36" s="64">
        <v>42933</v>
      </c>
      <c r="H36" s="60" t="s">
        <v>76</v>
      </c>
      <c r="I36" s="52" t="s">
        <v>140</v>
      </c>
      <c r="J36" s="52" t="s">
        <v>74</v>
      </c>
      <c r="K36" s="44">
        <v>10</v>
      </c>
      <c r="L36" s="41" t="s">
        <v>125</v>
      </c>
      <c r="N36" s="28" t="s">
        <v>226</v>
      </c>
      <c r="O36" s="53" t="s">
        <v>157</v>
      </c>
      <c r="P36" s="53" t="s">
        <v>157</v>
      </c>
      <c r="Q36" s="29" t="s">
        <v>124</v>
      </c>
      <c r="T36" s="56" t="s">
        <v>168</v>
      </c>
      <c r="W36" s="79"/>
    </row>
    <row r="37" spans="1:27" s="16" customFormat="1" ht="24.75">
      <c r="A37" s="50"/>
      <c r="B37" s="58" t="s">
        <v>228</v>
      </c>
      <c r="C37" s="58" t="s">
        <v>229</v>
      </c>
      <c r="D37" s="67" t="s">
        <v>227</v>
      </c>
      <c r="E37" s="29">
        <v>42933</v>
      </c>
      <c r="F37" s="29">
        <v>42978</v>
      </c>
      <c r="G37" s="29">
        <v>42940</v>
      </c>
      <c r="H37" s="60" t="s">
        <v>77</v>
      </c>
      <c r="I37" s="52" t="s">
        <v>83</v>
      </c>
      <c r="J37" s="52" t="s">
        <v>75</v>
      </c>
      <c r="K37" s="39" t="s">
        <v>230</v>
      </c>
      <c r="L37" s="41"/>
      <c r="M37" s="30"/>
      <c r="N37" s="28" t="s">
        <v>56</v>
      </c>
      <c r="O37" s="53" t="s">
        <v>157</v>
      </c>
      <c r="P37" s="53" t="s">
        <v>157</v>
      </c>
      <c r="Q37" s="29" t="s">
        <v>124</v>
      </c>
      <c r="R37" s="54"/>
      <c r="S37" s="55"/>
      <c r="T37" s="56" t="s">
        <v>168</v>
      </c>
      <c r="U37" s="30"/>
      <c r="V37" s="30"/>
      <c r="W37" s="79"/>
      <c r="X37" s="30"/>
      <c r="Y37" s="30"/>
      <c r="Z37" s="57"/>
      <c r="AA37" s="57"/>
    </row>
    <row r="38" spans="1:27" ht="32.25" customHeight="1">
      <c r="B38" s="28" t="s">
        <v>231</v>
      </c>
      <c r="C38" s="58" t="s">
        <v>232</v>
      </c>
      <c r="D38" s="51" t="s">
        <v>158</v>
      </c>
      <c r="E38" s="29">
        <v>42933</v>
      </c>
      <c r="F38" s="64">
        <v>42978</v>
      </c>
      <c r="G38" s="64">
        <v>42948</v>
      </c>
      <c r="H38" s="60" t="s">
        <v>76</v>
      </c>
      <c r="I38" s="52" t="s">
        <v>83</v>
      </c>
      <c r="J38" s="52" t="s">
        <v>74</v>
      </c>
      <c r="K38" s="44">
        <v>30</v>
      </c>
      <c r="N38" s="28" t="s">
        <v>56</v>
      </c>
      <c r="O38" s="53" t="s">
        <v>157</v>
      </c>
      <c r="P38" s="53" t="s">
        <v>157</v>
      </c>
      <c r="Q38" s="29" t="s">
        <v>124</v>
      </c>
      <c r="T38" s="56" t="s">
        <v>168</v>
      </c>
      <c r="V38" s="66" t="s">
        <v>233</v>
      </c>
      <c r="W38" s="79">
        <v>4.3</v>
      </c>
    </row>
    <row r="39" spans="1:27" ht="64.900000000000006" customHeight="1">
      <c r="B39" s="28" t="s">
        <v>234</v>
      </c>
      <c r="C39" s="58" t="s">
        <v>235</v>
      </c>
      <c r="D39" s="51" t="s">
        <v>158</v>
      </c>
      <c r="E39" s="29">
        <v>42933</v>
      </c>
      <c r="F39" s="64">
        <v>42978</v>
      </c>
      <c r="G39" s="64">
        <v>42948</v>
      </c>
      <c r="H39" s="60" t="s">
        <v>76</v>
      </c>
      <c r="I39" s="52" t="s">
        <v>83</v>
      </c>
      <c r="J39" s="52" t="s">
        <v>74</v>
      </c>
      <c r="K39" s="44">
        <v>14</v>
      </c>
      <c r="N39" s="28" t="s">
        <v>56</v>
      </c>
      <c r="O39" s="53" t="s">
        <v>157</v>
      </c>
      <c r="P39" s="53" t="s">
        <v>157</v>
      </c>
      <c r="Q39" s="29" t="s">
        <v>124</v>
      </c>
      <c r="T39" s="56" t="s">
        <v>168</v>
      </c>
      <c r="V39" s="66" t="s">
        <v>233</v>
      </c>
      <c r="W39" s="79" t="s">
        <v>142</v>
      </c>
    </row>
    <row r="40" spans="1:27" ht="32.25" customHeight="1">
      <c r="B40" s="28" t="s">
        <v>236</v>
      </c>
      <c r="C40" s="58" t="s">
        <v>237</v>
      </c>
      <c r="D40" s="51" t="s">
        <v>158</v>
      </c>
      <c r="E40" s="29">
        <v>42933</v>
      </c>
      <c r="F40" s="64">
        <v>42978</v>
      </c>
      <c r="G40" s="64">
        <v>42948</v>
      </c>
      <c r="H40" s="60" t="s">
        <v>76</v>
      </c>
      <c r="I40" s="52" t="s">
        <v>83</v>
      </c>
      <c r="J40" s="52" t="s">
        <v>74</v>
      </c>
      <c r="K40" s="44">
        <v>10</v>
      </c>
      <c r="N40" s="28" t="s">
        <v>56</v>
      </c>
      <c r="O40" s="53" t="s">
        <v>157</v>
      </c>
      <c r="P40" s="53" t="s">
        <v>157</v>
      </c>
      <c r="Q40" s="29" t="s">
        <v>124</v>
      </c>
      <c r="T40" s="56" t="s">
        <v>168</v>
      </c>
      <c r="V40" s="66" t="s">
        <v>233</v>
      </c>
      <c r="W40" s="79" t="s">
        <v>143</v>
      </c>
    </row>
    <row r="41" spans="1:27" ht="98.45" customHeight="1">
      <c r="B41" s="28" t="s">
        <v>224</v>
      </c>
      <c r="C41" s="58" t="s">
        <v>238</v>
      </c>
      <c r="D41" s="51" t="s">
        <v>76</v>
      </c>
      <c r="E41" s="29">
        <v>42933</v>
      </c>
      <c r="F41" s="64">
        <v>42978</v>
      </c>
      <c r="G41" s="64">
        <v>42948</v>
      </c>
      <c r="H41" s="60" t="s">
        <v>76</v>
      </c>
      <c r="I41" s="52" t="s">
        <v>140</v>
      </c>
      <c r="J41" s="52" t="s">
        <v>74</v>
      </c>
      <c r="K41" s="44">
        <v>10</v>
      </c>
      <c r="N41" s="28" t="s">
        <v>226</v>
      </c>
      <c r="O41" s="53" t="s">
        <v>157</v>
      </c>
      <c r="P41" s="53" t="s">
        <v>157</v>
      </c>
      <c r="Q41" s="29" t="s">
        <v>124</v>
      </c>
      <c r="T41" s="56" t="s">
        <v>168</v>
      </c>
      <c r="W41" s="79"/>
    </row>
    <row r="42" spans="1:27" ht="32.25" customHeight="1">
      <c r="B42" s="28" t="s">
        <v>239</v>
      </c>
      <c r="D42" s="51" t="s">
        <v>167</v>
      </c>
      <c r="E42" s="64">
        <v>42944</v>
      </c>
      <c r="F42" s="64">
        <v>42944</v>
      </c>
      <c r="G42" s="64" t="s">
        <v>240</v>
      </c>
      <c r="H42" s="60" t="s">
        <v>167</v>
      </c>
      <c r="I42" s="52" t="s">
        <v>140</v>
      </c>
      <c r="J42" s="52" t="s">
        <v>74</v>
      </c>
      <c r="K42" s="44">
        <v>22</v>
      </c>
      <c r="N42" s="28" t="s">
        <v>56</v>
      </c>
      <c r="O42" s="53" t="s">
        <v>161</v>
      </c>
      <c r="P42" s="29" t="s">
        <v>161</v>
      </c>
      <c r="Q42" s="29" t="s">
        <v>124</v>
      </c>
      <c r="W42" s="79"/>
    </row>
    <row r="43" spans="1:27" ht="32.25" customHeight="1">
      <c r="W43" s="79"/>
    </row>
    <row r="44" spans="1:27" ht="32.25" customHeight="1">
      <c r="W44" s="79"/>
    </row>
    <row r="45" spans="1:27" ht="32.25" customHeight="1">
      <c r="W45" s="79"/>
    </row>
    <row r="46" spans="1:27" ht="32.25" customHeight="1">
      <c r="W46" s="79"/>
    </row>
    <row r="47" spans="1:27" ht="32.25" customHeight="1">
      <c r="W47" s="79"/>
    </row>
    <row r="48" spans="1:27" ht="32.25" customHeight="1">
      <c r="W48" s="79"/>
    </row>
    <row r="49" spans="23:23" ht="32.25" customHeight="1">
      <c r="W49" s="79"/>
    </row>
    <row r="50" spans="23:23" ht="32.25" customHeight="1">
      <c r="W50" s="79"/>
    </row>
    <row r="51" spans="23:23" ht="32.25" customHeight="1">
      <c r="W51" s="79"/>
    </row>
    <row r="52" spans="23:23" ht="32.25" customHeight="1">
      <c r="W52" s="79"/>
    </row>
    <row r="53" spans="23:23" ht="32.25" customHeight="1">
      <c r="W53" s="79"/>
    </row>
    <row r="54" spans="23:23" ht="32.25" customHeight="1">
      <c r="W54" s="79"/>
    </row>
    <row r="55" spans="23:23" ht="32.25" customHeight="1">
      <c r="W55" s="79"/>
    </row>
    <row r="56" spans="23:23" ht="32.25" customHeight="1">
      <c r="W56" s="79"/>
    </row>
    <row r="57" spans="23:23" ht="32.25" customHeight="1">
      <c r="W57" s="79"/>
    </row>
    <row r="58" spans="23:23" ht="32.25" customHeight="1">
      <c r="W58" s="79"/>
    </row>
    <row r="59" spans="23:23" ht="32.25" customHeight="1">
      <c r="W59" s="79"/>
    </row>
    <row r="60" spans="23:23" ht="32.25" customHeight="1">
      <c r="W60" s="79"/>
    </row>
    <row r="61" spans="23:23" ht="32.25" customHeight="1">
      <c r="W61" s="79"/>
    </row>
    <row r="62" spans="23:23" ht="32.25" customHeight="1">
      <c r="W62" s="79"/>
    </row>
    <row r="63" spans="23:23" ht="32.25" customHeight="1">
      <c r="W63" s="79"/>
    </row>
    <row r="64" spans="23:23" ht="32.25" customHeight="1">
      <c r="W64" s="79"/>
    </row>
    <row r="65" spans="23:23" ht="32.25" customHeight="1">
      <c r="W65" s="79"/>
    </row>
  </sheetData>
  <autoFilter ref="A1:AA29"/>
  <phoneticPr fontId="2" type="noConversion"/>
  <dataValidations count="10">
    <dataValidation type="list" allowBlank="1" showInputMessage="1" showErrorMessage="1" sqref="T2:T13 AA17:AA18 V17:V18 V27:V28 AA27:AA28 AA37 V37 R1:R1048576">
      <formula1>"是,否"</formula1>
    </dataValidation>
    <dataValidation type="list" allowBlank="1" showInputMessage="1" showErrorMessage="1" sqref="Y1:Y16 Y19:Y26 Y29:Y36 Y38:Y1048576">
      <formula1>"是，否"</formula1>
    </dataValidation>
    <dataValidation type="list" allowBlank="1" showInputMessage="1" showErrorMessage="1" sqref="N14:N18 O19:O26 N27:N1048576">
      <formula1>"正常需求,客户CR,SA问题,解决方案问题,内部安全整改,部件问题"</formula1>
    </dataValidation>
    <dataValidation type="list" allowBlank="1" showInputMessage="1" showErrorMessage="1" sqref="N2:N13">
      <formula1>"正常需求,客户CR,SA问题,解决方案问题,安全需求/问题,部件问题,内部安全整改"</formula1>
    </dataValidation>
    <dataValidation type="list" allowBlank="1" showInputMessage="1" showErrorMessage="1" sqref="Q1:Q1048576">
      <formula1>"是,否,免"</formula1>
    </dataValidation>
    <dataValidation type="list" allowBlank="1" showInputMessage="1" showErrorMessage="1" sqref="L1:L1048576">
      <formula1>"01 定期审视, 02 接纳|现有版本特性已经满足该需求,02 接纳|组织方案设计, 02 接纳|此前已接纳类似需求，需求单号详见结论意见, 03 退回|需求不清晰，需要提交人补充, 03 退回|不接纳，详见结论意见,03 退回|请提交网上问题流程处理"</formula1>
    </dataValidation>
    <dataValidation type="list" allowBlank="1" showInputMessage="1" showErrorMessage="1" sqref="H1:H13">
      <formula1>需求处理人</formula1>
    </dataValidation>
    <dataValidation type="list" allowBlank="1" showInputMessage="1" showErrorMessage="1" sqref="I1:I1048576">
      <formula1>"功能 Function, 内部优化"</formula1>
    </dataValidation>
    <dataValidation type="list" allowBlank="1" showInputMessage="1" showErrorMessage="1" sqref="J2:J1048576">
      <formula1>"游戏, 视频"</formula1>
    </dataValidation>
    <dataValidation type="list" allowBlank="1" showInputMessage="1" showErrorMessage="1" sqref="J1">
      <formula1>"游戏,视频"</formula1>
    </dataValidation>
  </dataValidations>
  <hyperlinks>
    <hyperlink ref="V26" r:id="rId1"/>
    <hyperlink ref="V25" r:id="rId2"/>
    <hyperlink ref="V24" r:id="rId3"/>
    <hyperlink ref="V23" r:id="rId4"/>
    <hyperlink ref="V22" r:id="rId5"/>
    <hyperlink ref="V31" r:id="rId6"/>
    <hyperlink ref="V32" r:id="rId7"/>
    <hyperlink ref="V33" r:id="rId8"/>
    <hyperlink ref="V34" r:id="rId9"/>
    <hyperlink ref="V38" r:id="rId10"/>
    <hyperlink ref="V39" r:id="rId11"/>
    <hyperlink ref="V40" r:id="rId12"/>
  </hyperlinks>
  <pageMargins left="0.74803149606299213" right="0.74803149606299213" top="0.98425196850393704" bottom="0.98425196850393704" header="0.51181102362204722" footer="0.51181102362204722"/>
  <pageSetup paperSize="9" orientation="portrait" r:id="rId13"/>
  <headerFooter alignWithMargins="0">
    <oddHeader>&amp;L&amp;G&amp;C&amp;F&amp;R文档密级</oddHeader>
    <oddFooter>&amp;L&amp;D&amp;C华为保密信息,未经授权禁止扩散&amp;R第&amp;P页，共&amp;N页</oddFooter>
  </headerFooter>
  <legacyDrawingHF r:id="rId14"/>
  <extLst>
    <ext xmlns:x14="http://schemas.microsoft.com/office/spreadsheetml/2009/9/main" uri="{CCE6A557-97BC-4b89-ADB6-D9C93CAAB3DF}">
      <x14:dataValidations xmlns:xm="http://schemas.microsoft.com/office/excel/2006/main" count="2">
        <x14:dataValidation type="list" allowBlank="1" showInputMessage="1" showErrorMessage="1">
          <x14:formula1>
            <xm:f>[1]常量值!#REF!</xm:f>
          </x14:formula1>
          <xm:sqref>H17:H18 H27:H30 H37</xm:sqref>
        </x14:dataValidation>
        <x14:dataValidation type="list" allowBlank="1" showInputMessage="1" showErrorMessage="1">
          <x14:formula1>
            <xm:f>[1]常量值!#REF!</xm:f>
          </x14:formula1>
          <xm:sqref>H35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F14" sqref="F14"/>
    </sheetView>
  </sheetViews>
  <sheetFormatPr defaultRowHeight="15"/>
  <cols>
    <col min="1" max="1" width="10.21875" customWidth="1"/>
    <col min="3" max="3" width="13.109375" customWidth="1"/>
    <col min="4" max="4" width="9.6640625" customWidth="1"/>
    <col min="6" max="6" width="16.6640625" customWidth="1"/>
    <col min="7" max="7" width="14.88671875" customWidth="1"/>
    <col min="8" max="8" width="16.6640625" customWidth="1"/>
    <col min="9" max="9" width="19.109375" customWidth="1"/>
    <col min="10" max="10" width="20.6640625" customWidth="1"/>
    <col min="11" max="11" width="13.44140625" customWidth="1"/>
  </cols>
  <sheetData>
    <row r="1" spans="1:11">
      <c r="A1" t="s">
        <v>202</v>
      </c>
      <c r="B1" t="s">
        <v>72</v>
      </c>
      <c r="C1" t="s">
        <v>203</v>
      </c>
      <c r="D1" t="s">
        <v>204</v>
      </c>
      <c r="E1" t="s">
        <v>205</v>
      </c>
      <c r="F1" t="s">
        <v>88</v>
      </c>
      <c r="G1" t="s">
        <v>97</v>
      </c>
      <c r="H1" t="s">
        <v>98</v>
      </c>
      <c r="I1" t="s">
        <v>99</v>
      </c>
      <c r="J1" t="s">
        <v>206</v>
      </c>
      <c r="K1" t="s">
        <v>207</v>
      </c>
    </row>
    <row r="2" spans="1:11">
      <c r="A2" t="s">
        <v>83</v>
      </c>
      <c r="B2" t="s">
        <v>75</v>
      </c>
      <c r="C2" t="s">
        <v>195</v>
      </c>
      <c r="F2" t="s">
        <v>56</v>
      </c>
      <c r="G2" t="s">
        <v>161</v>
      </c>
      <c r="H2" t="s">
        <v>161</v>
      </c>
      <c r="I2" t="s">
        <v>124</v>
      </c>
    </row>
    <row r="3" spans="1:11">
      <c r="A3" t="s">
        <v>83</v>
      </c>
      <c r="B3" t="s">
        <v>75</v>
      </c>
      <c r="C3" t="s">
        <v>195</v>
      </c>
      <c r="F3" t="s">
        <v>56</v>
      </c>
      <c r="G3" t="s">
        <v>161</v>
      </c>
      <c r="H3" t="s">
        <v>161</v>
      </c>
      <c r="I3" t="s">
        <v>124</v>
      </c>
    </row>
    <row r="4" spans="1:11">
      <c r="A4" t="s">
        <v>83</v>
      </c>
      <c r="B4" t="s">
        <v>75</v>
      </c>
      <c r="C4" t="s">
        <v>195</v>
      </c>
      <c r="D4" t="s">
        <v>125</v>
      </c>
      <c r="F4" t="s">
        <v>56</v>
      </c>
      <c r="G4" t="s">
        <v>161</v>
      </c>
      <c r="H4" t="s">
        <v>161</v>
      </c>
      <c r="I4" t="s">
        <v>124</v>
      </c>
    </row>
    <row r="5" spans="1:11">
      <c r="A5" t="s">
        <v>83</v>
      </c>
      <c r="B5" t="s">
        <v>75</v>
      </c>
      <c r="C5" t="s">
        <v>195</v>
      </c>
      <c r="D5" t="s">
        <v>125</v>
      </c>
      <c r="E5" t="s">
        <v>163</v>
      </c>
      <c r="F5" t="s">
        <v>56</v>
      </c>
      <c r="G5" t="s">
        <v>161</v>
      </c>
      <c r="H5" t="s">
        <v>161</v>
      </c>
      <c r="I5" t="s">
        <v>124</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K2"/>
    </sheetView>
  </sheetViews>
  <sheetFormatPr defaultRowHeight="15"/>
  <cols>
    <col min="1" max="1" width="10.21875" customWidth="1"/>
    <col min="3" max="3" width="13.109375" customWidth="1"/>
    <col min="4" max="4" width="9.6640625" customWidth="1"/>
    <col min="6" max="6" width="16.6640625" customWidth="1"/>
    <col min="7" max="7" width="14.88671875" customWidth="1"/>
    <col min="8" max="8" width="16.6640625" customWidth="1"/>
    <col min="9" max="9" width="19.109375" customWidth="1"/>
    <col min="10" max="10" width="20.6640625" customWidth="1"/>
    <col min="11" max="11" width="13.44140625" customWidth="1"/>
  </cols>
  <sheetData>
    <row r="1" spans="1:11">
      <c r="A1" t="s">
        <v>202</v>
      </c>
      <c r="B1" t="s">
        <v>72</v>
      </c>
      <c r="C1" t="s">
        <v>203</v>
      </c>
      <c r="D1" t="s">
        <v>204</v>
      </c>
      <c r="E1" t="s">
        <v>205</v>
      </c>
      <c r="F1" t="s">
        <v>88</v>
      </c>
      <c r="G1" t="s">
        <v>97</v>
      </c>
      <c r="H1" t="s">
        <v>98</v>
      </c>
      <c r="I1" t="s">
        <v>99</v>
      </c>
      <c r="J1" t="s">
        <v>206</v>
      </c>
      <c r="K1" t="s">
        <v>207</v>
      </c>
    </row>
    <row r="2" spans="1:11">
      <c r="A2" t="s">
        <v>140</v>
      </c>
      <c r="B2" t="s">
        <v>75</v>
      </c>
      <c r="C2">
        <v>22</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8"/>
  <sheetViews>
    <sheetView workbookViewId="0">
      <selection activeCell="E17" sqref="E17"/>
    </sheetView>
  </sheetViews>
  <sheetFormatPr defaultRowHeight="15"/>
  <cols>
    <col min="1" max="1" width="23.88671875" customWidth="1"/>
    <col min="2" max="2" width="14.88671875" style="6" customWidth="1"/>
    <col min="3" max="3" width="5.6640625" style="6" customWidth="1"/>
    <col min="4" max="4" width="16.109375" customWidth="1"/>
    <col min="5" max="6" width="12.33203125" bestFit="1" customWidth="1"/>
    <col min="214" max="950" width="67.6640625" bestFit="1" customWidth="1"/>
    <col min="951" max="951" width="4.77734375" customWidth="1"/>
  </cols>
  <sheetData>
    <row r="1" spans="1:4">
      <c r="B1"/>
      <c r="C1"/>
    </row>
    <row r="2" spans="1:4">
      <c r="B2"/>
      <c r="C2"/>
    </row>
    <row r="3" spans="1:4">
      <c r="B3"/>
      <c r="C3"/>
    </row>
    <row r="4" spans="1:4">
      <c r="B4"/>
      <c r="C4"/>
    </row>
    <row r="5" spans="1:4">
      <c r="A5" s="3" t="s">
        <v>62</v>
      </c>
      <c r="B5" t="s">
        <v>201</v>
      </c>
      <c r="C5"/>
    </row>
    <row r="6" spans="1:4">
      <c r="A6" s="4" t="s">
        <v>75</v>
      </c>
      <c r="B6" s="78"/>
      <c r="C6"/>
    </row>
    <row r="7" spans="1:4">
      <c r="A7" s="32" t="s">
        <v>83</v>
      </c>
      <c r="B7" s="78">
        <v>4</v>
      </c>
      <c r="C7"/>
      <c r="D7" s="18"/>
    </row>
    <row r="8" spans="1:4">
      <c r="A8" s="32" t="s">
        <v>140</v>
      </c>
      <c r="B8" s="78">
        <v>1</v>
      </c>
      <c r="C8"/>
      <c r="D8" s="4"/>
    </row>
    <row r="9" spans="1:4">
      <c r="A9" s="4" t="s">
        <v>74</v>
      </c>
      <c r="B9" s="78"/>
      <c r="C9"/>
      <c r="D9" s="32"/>
    </row>
    <row r="10" spans="1:4">
      <c r="A10" s="32" t="s">
        <v>83</v>
      </c>
      <c r="B10" s="78">
        <v>14</v>
      </c>
      <c r="C10"/>
      <c r="D10" s="32"/>
    </row>
    <row r="11" spans="1:4">
      <c r="A11" s="32" t="s">
        <v>175</v>
      </c>
      <c r="B11" s="78">
        <v>4</v>
      </c>
      <c r="C11"/>
      <c r="D11" s="4"/>
    </row>
    <row r="12" spans="1:4">
      <c r="A12" s="32" t="s">
        <v>140</v>
      </c>
      <c r="B12" s="78">
        <v>5</v>
      </c>
      <c r="C12"/>
      <c r="D12" s="32"/>
    </row>
    <row r="13" spans="1:4">
      <c r="A13" s="4" t="s">
        <v>61</v>
      </c>
      <c r="B13" s="78"/>
      <c r="C13"/>
      <c r="D13" s="32"/>
    </row>
    <row r="14" spans="1:4">
      <c r="A14" s="32" t="s">
        <v>61</v>
      </c>
      <c r="B14" s="78"/>
      <c r="C14"/>
      <c r="D14" s="32"/>
    </row>
    <row r="15" spans="1:4">
      <c r="A15" s="4" t="s">
        <v>1</v>
      </c>
      <c r="B15" s="78">
        <v>28</v>
      </c>
      <c r="C15"/>
      <c r="D15" s="4"/>
    </row>
    <row r="16" spans="1:4">
      <c r="B16"/>
      <c r="C16"/>
      <c r="D16" s="32"/>
    </row>
    <row r="17" spans="2:4">
      <c r="B17"/>
      <c r="C17"/>
      <c r="D17" s="4"/>
    </row>
    <row r="18" spans="2:4">
      <c r="B18"/>
      <c r="C18"/>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8"/>
  <sheetViews>
    <sheetView zoomScale="85" zoomScaleNormal="85" workbookViewId="0">
      <selection activeCell="A3" sqref="A3"/>
    </sheetView>
  </sheetViews>
  <sheetFormatPr defaultRowHeight="15"/>
  <cols>
    <col min="1" max="1" width="11" style="34" bestFit="1" customWidth="1"/>
    <col min="2" max="2" width="8" style="33" customWidth="1"/>
    <col min="3" max="3" width="6.5546875" customWidth="1"/>
    <col min="4" max="4" width="6.44140625" customWidth="1"/>
    <col min="5" max="5" width="8.33203125" customWidth="1"/>
    <col min="6" max="7" width="5.44140625" customWidth="1"/>
    <col min="8" max="8" width="9.6640625" customWidth="1"/>
    <col min="9" max="10" width="5.44140625" customWidth="1"/>
    <col min="11" max="11" width="6.5546875" customWidth="1"/>
    <col min="12" max="12" width="5.6640625" customWidth="1"/>
    <col min="13" max="13" width="15.33203125" customWidth="1"/>
    <col min="14" max="14" width="5.44140625" customWidth="1"/>
    <col min="15" max="15" width="6.44140625" customWidth="1"/>
    <col min="16" max="17" width="5.44140625" customWidth="1"/>
    <col min="18" max="18" width="8.109375" customWidth="1"/>
    <col min="19" max="19" width="11.33203125" customWidth="1"/>
    <col min="20" max="20" width="9.44140625" customWidth="1"/>
    <col min="21" max="21" width="6.6640625" customWidth="1"/>
    <col min="22" max="22" width="6.44140625" customWidth="1"/>
    <col min="23" max="23" width="7.33203125" customWidth="1"/>
    <col min="24" max="24" width="6.33203125" customWidth="1"/>
    <col min="25" max="25" width="6.21875" customWidth="1"/>
    <col min="26" max="26" width="9.5546875" customWidth="1"/>
    <col min="27" max="27" width="5.44140625" customWidth="1"/>
    <col min="28" max="28" width="8.6640625" customWidth="1"/>
    <col min="29" max="29" width="5.5546875" customWidth="1"/>
    <col min="30" max="31" width="5.44140625" customWidth="1"/>
    <col min="32" max="32" width="9.6640625" customWidth="1"/>
    <col min="33" max="33" width="5.44140625" customWidth="1"/>
    <col min="34" max="34" width="12.21875" customWidth="1"/>
    <col min="35" max="35" width="9.6640625" customWidth="1"/>
    <col min="36" max="36" width="5.44140625" customWidth="1"/>
    <col min="37" max="37" width="7.44140625" customWidth="1"/>
    <col min="38" max="70" width="38" bestFit="1" customWidth="1"/>
    <col min="71" max="71" width="19.44140625" bestFit="1" customWidth="1"/>
    <col min="72" max="72" width="41.44140625" bestFit="1" customWidth="1"/>
    <col min="73" max="74" width="7.77734375" customWidth="1"/>
    <col min="75" max="75" width="12.44140625" customWidth="1"/>
    <col min="76" max="76" width="10.21875" bestFit="1" customWidth="1"/>
    <col min="77" max="77" width="7.77734375" customWidth="1"/>
    <col min="78" max="78" width="7.88671875" customWidth="1"/>
    <col min="79" max="79" width="12.6640625" bestFit="1" customWidth="1"/>
    <col min="80" max="80" width="9.21875" bestFit="1" customWidth="1"/>
    <col min="81" max="81" width="11.5546875" bestFit="1" customWidth="1"/>
    <col min="82" max="82" width="5.77734375" customWidth="1"/>
    <col min="83" max="87" width="7.77734375" customWidth="1"/>
    <col min="88" max="89" width="7.88671875" customWidth="1"/>
    <col min="90" max="91" width="7.77734375" customWidth="1"/>
    <col min="92" max="92" width="8.109375" customWidth="1"/>
    <col min="93" max="93" width="9.77734375" bestFit="1" customWidth="1"/>
    <col min="94" max="96" width="7.77734375" customWidth="1"/>
    <col min="97" max="97" width="12.33203125" bestFit="1" customWidth="1"/>
    <col min="98" max="98" width="18.77734375" bestFit="1" customWidth="1"/>
    <col min="99" max="99" width="21.44140625" bestFit="1" customWidth="1"/>
    <col min="100" max="100" width="7.88671875" customWidth="1"/>
    <col min="101" max="101" width="9.44140625" bestFit="1" customWidth="1"/>
    <col min="102" max="102" width="12.77734375" bestFit="1" customWidth="1"/>
    <col min="103" max="103" width="15.44140625" bestFit="1" customWidth="1"/>
    <col min="104" max="104" width="9.109375" bestFit="1" customWidth="1"/>
    <col min="105" max="108" width="7.77734375" customWidth="1"/>
    <col min="109" max="110" width="7.88671875" customWidth="1"/>
    <col min="111" max="111" width="7.77734375" customWidth="1"/>
    <col min="112" max="112" width="5.77734375" customWidth="1"/>
    <col min="113" max="113" width="11.44140625" bestFit="1" customWidth="1"/>
    <col min="114" max="114" width="11.77734375" bestFit="1" customWidth="1"/>
    <col min="115" max="116" width="7.77734375" customWidth="1"/>
    <col min="117" max="118" width="7.88671875" customWidth="1"/>
    <col min="119" max="120" width="7.77734375" customWidth="1"/>
    <col min="121" max="121" width="14.44140625" bestFit="1" customWidth="1"/>
    <col min="122" max="122" width="14.88671875" bestFit="1" customWidth="1"/>
    <col min="123" max="123" width="17.44140625" bestFit="1" customWidth="1"/>
    <col min="124" max="124" width="7.77734375" customWidth="1"/>
    <col min="125" max="125" width="8.44140625" customWidth="1"/>
    <col min="126" max="126" width="5.44140625" customWidth="1"/>
    <col min="127" max="131" width="7.77734375" customWidth="1"/>
    <col min="132" max="133" width="7.88671875" customWidth="1"/>
    <col min="134" max="134" width="7.21875" customWidth="1"/>
    <col min="135" max="135" width="11.88671875" bestFit="1" customWidth="1"/>
    <col min="136" max="139" width="7.77734375" customWidth="1"/>
    <col min="140" max="141" width="7.88671875" customWidth="1"/>
    <col min="142" max="142" width="7.77734375" customWidth="1"/>
    <col min="143" max="143" width="14.5546875" bestFit="1" customWidth="1"/>
    <col min="144" max="144" width="9.44140625" bestFit="1" customWidth="1"/>
    <col min="145" max="145" width="12" bestFit="1" customWidth="1"/>
    <col min="146" max="146" width="12.109375" bestFit="1" customWidth="1"/>
    <col min="147" max="150" width="7.77734375" customWidth="1"/>
    <col min="151" max="152" width="7.88671875" customWidth="1"/>
    <col min="153" max="153" width="14.77734375" bestFit="1" customWidth="1"/>
    <col min="154" max="154" width="12.33203125" bestFit="1" customWidth="1"/>
    <col min="155" max="155" width="14.88671875" bestFit="1" customWidth="1"/>
    <col min="156" max="156" width="10.21875" bestFit="1" customWidth="1"/>
    <col min="157" max="157" width="12.6640625" bestFit="1" customWidth="1"/>
    <col min="158" max="158" width="9.77734375" bestFit="1" customWidth="1"/>
    <col min="159" max="159" width="7.77734375" customWidth="1"/>
    <col min="160" max="160" width="12.33203125" bestFit="1" customWidth="1"/>
    <col min="161" max="161" width="11.6640625" bestFit="1" customWidth="1"/>
    <col min="162" max="166" width="7.77734375" customWidth="1"/>
    <col min="167" max="167" width="7.88671875" customWidth="1"/>
    <col min="168" max="168" width="7.77734375" customWidth="1"/>
    <col min="169" max="169" width="5.77734375" customWidth="1"/>
    <col min="170" max="170" width="14.44140625" bestFit="1" customWidth="1"/>
    <col min="171" max="171" width="12.5546875" bestFit="1" customWidth="1"/>
    <col min="172" max="172" width="7.77734375" customWidth="1"/>
    <col min="173" max="173" width="15.21875" bestFit="1" customWidth="1"/>
    <col min="174" max="174" width="16.33203125" bestFit="1" customWidth="1"/>
    <col min="175" max="175" width="18.88671875" bestFit="1" customWidth="1"/>
    <col min="176" max="176" width="13.33203125" bestFit="1" customWidth="1"/>
    <col min="177" max="178" width="7.77734375" customWidth="1"/>
    <col min="179" max="179" width="7.88671875" customWidth="1"/>
    <col min="180" max="180" width="7.77734375" customWidth="1"/>
    <col min="181" max="181" width="16" bestFit="1" customWidth="1"/>
    <col min="182" max="182" width="9.77734375" bestFit="1" customWidth="1"/>
    <col min="183" max="183" width="7.77734375" customWidth="1"/>
    <col min="184" max="184" width="12.33203125" bestFit="1" customWidth="1"/>
    <col min="185" max="185" width="13.33203125" bestFit="1" customWidth="1"/>
    <col min="186" max="187" width="7.77734375" customWidth="1"/>
    <col min="188" max="188" width="16" bestFit="1" customWidth="1"/>
    <col min="189" max="189" width="20.6640625" bestFit="1" customWidth="1"/>
    <col min="190" max="190" width="7.77734375" customWidth="1"/>
    <col min="191" max="192" width="7.88671875" customWidth="1"/>
    <col min="193" max="193" width="23.44140625" bestFit="1" customWidth="1"/>
    <col min="194" max="194" width="17" bestFit="1" customWidth="1"/>
    <col min="195" max="195" width="19.6640625" bestFit="1" customWidth="1"/>
    <col min="196" max="196" width="13.33203125" bestFit="1" customWidth="1"/>
    <col min="197" max="197" width="16" bestFit="1" customWidth="1"/>
    <col min="198" max="198" width="9.21875" bestFit="1" customWidth="1"/>
    <col min="199" max="203" width="7.77734375" customWidth="1"/>
    <col min="204" max="204" width="11.5546875" bestFit="1" customWidth="1"/>
    <col min="205" max="205" width="9.21875" bestFit="1" customWidth="1"/>
    <col min="206" max="209" width="7.77734375" customWidth="1"/>
    <col min="210" max="211" width="7.88671875" customWidth="1"/>
    <col min="212" max="213" width="7.77734375" customWidth="1"/>
    <col min="214" max="214" width="11.5546875" bestFit="1" customWidth="1"/>
    <col min="215" max="215" width="9.21875" bestFit="1" customWidth="1"/>
    <col min="216" max="217" width="7.88671875" customWidth="1"/>
    <col min="218" max="221" width="7.77734375" customWidth="1"/>
    <col min="222" max="222" width="11.5546875" bestFit="1" customWidth="1"/>
    <col min="223" max="223" width="9.77734375" bestFit="1" customWidth="1"/>
    <col min="224" max="224" width="7.77734375" customWidth="1"/>
    <col min="225" max="225" width="12.33203125" bestFit="1" customWidth="1"/>
    <col min="226" max="226" width="13.33203125" bestFit="1" customWidth="1"/>
    <col min="227" max="227" width="7.77734375" customWidth="1"/>
    <col min="228" max="228" width="16" bestFit="1" customWidth="1"/>
    <col min="229" max="229" width="11.6640625" bestFit="1" customWidth="1"/>
    <col min="230" max="230" width="14.44140625" bestFit="1" customWidth="1"/>
    <col min="231" max="231" width="15.5546875" bestFit="1" customWidth="1"/>
    <col min="232" max="232" width="18.33203125" bestFit="1" customWidth="1"/>
    <col min="233" max="233" width="11.44140625" bestFit="1" customWidth="1"/>
    <col min="234" max="235" width="7.88671875" customWidth="1"/>
    <col min="236" max="236" width="7.77734375" customWidth="1"/>
    <col min="237" max="237" width="14.109375" bestFit="1" customWidth="1"/>
    <col min="238" max="238" width="17.44140625" bestFit="1" customWidth="1"/>
    <col min="239" max="239" width="20.109375" bestFit="1" customWidth="1"/>
    <col min="240" max="240" width="20.21875" bestFit="1" customWidth="1"/>
    <col min="241" max="241" width="22.77734375" bestFit="1" customWidth="1"/>
    <col min="242" max="242" width="14.21875" bestFit="1" customWidth="1"/>
    <col min="243" max="247" width="7.77734375" customWidth="1"/>
    <col min="248" max="248" width="7.88671875" customWidth="1"/>
    <col min="249" max="249" width="16.88671875" bestFit="1" customWidth="1"/>
    <col min="250" max="250" width="10" bestFit="1" customWidth="1"/>
    <col min="251" max="254" width="7.77734375" customWidth="1"/>
    <col min="255" max="255" width="12.44140625" bestFit="1" customWidth="1"/>
    <col min="256" max="256" width="14.109375" bestFit="1" customWidth="1"/>
    <col min="257" max="257" width="16.6640625" bestFit="1" customWidth="1"/>
    <col min="258" max="258" width="9.77734375" bestFit="1" customWidth="1"/>
    <col min="259" max="259" width="12.33203125" bestFit="1" customWidth="1"/>
    <col min="260" max="260" width="17" bestFit="1" customWidth="1"/>
    <col min="261" max="265" width="7.77734375" customWidth="1"/>
    <col min="266" max="266" width="7.88671875" customWidth="1"/>
    <col min="267" max="267" width="7.77734375" customWidth="1"/>
    <col min="268" max="268" width="5.77734375" customWidth="1"/>
    <col min="269" max="269" width="19.6640625" bestFit="1" customWidth="1"/>
    <col min="270" max="270" width="13.33203125" bestFit="1" customWidth="1"/>
    <col min="271" max="271" width="7.88671875" customWidth="1"/>
    <col min="272" max="272" width="16" bestFit="1" customWidth="1"/>
    <col min="273" max="273" width="9.77734375" bestFit="1" customWidth="1"/>
    <col min="274" max="274" width="7.77734375" customWidth="1"/>
    <col min="275" max="275" width="12.33203125" bestFit="1" customWidth="1"/>
    <col min="276" max="276" width="10.44140625" bestFit="1" customWidth="1"/>
    <col min="277" max="279" width="7.77734375" customWidth="1"/>
    <col min="280" max="280" width="13" bestFit="1" customWidth="1"/>
    <col min="281" max="281" width="11.44140625" bestFit="1" customWidth="1"/>
    <col min="282" max="283" width="7.77734375" customWidth="1"/>
    <col min="284" max="284" width="7.88671875" customWidth="1"/>
    <col min="285" max="285" width="14" bestFit="1" customWidth="1"/>
    <col min="286" max="286" width="9.77734375" bestFit="1" customWidth="1"/>
    <col min="287" max="291" width="7.77734375" customWidth="1"/>
    <col min="292" max="292" width="12.33203125" bestFit="1" customWidth="1"/>
    <col min="293" max="293" width="12.77734375" bestFit="1" customWidth="1"/>
    <col min="294" max="295" width="7.77734375" customWidth="1"/>
    <col min="296" max="296" width="7.88671875" customWidth="1"/>
    <col min="297" max="297" width="15.44140625" bestFit="1" customWidth="1"/>
    <col min="298" max="298" width="11.21875" bestFit="1" customWidth="1"/>
    <col min="299" max="302" width="7.77734375" customWidth="1"/>
    <col min="303" max="303" width="13.77734375" bestFit="1" customWidth="1"/>
    <col min="304" max="304" width="13.33203125" bestFit="1" customWidth="1"/>
    <col min="305" max="305" width="7.88671875" customWidth="1"/>
    <col min="306" max="306" width="16" bestFit="1" customWidth="1"/>
    <col min="307" max="307" width="9.77734375" bestFit="1" customWidth="1"/>
    <col min="308" max="308" width="7.88671875" customWidth="1"/>
    <col min="309" max="309" width="12.33203125" bestFit="1" customWidth="1"/>
    <col min="310" max="310" width="13.33203125" bestFit="1" customWidth="1"/>
    <col min="311" max="311" width="16" bestFit="1" customWidth="1"/>
    <col min="312" max="312" width="13.77734375" bestFit="1" customWidth="1"/>
    <col min="313" max="313" width="16.44140625" bestFit="1" customWidth="1"/>
    <col min="314" max="314" width="15.21875" bestFit="1" customWidth="1"/>
    <col min="315" max="318" width="7.77734375" customWidth="1"/>
    <col min="319" max="319" width="17.77734375" bestFit="1" customWidth="1"/>
    <col min="320" max="320" width="17" bestFit="1" customWidth="1"/>
    <col min="321" max="324" width="7.77734375" customWidth="1"/>
    <col min="325" max="325" width="7.88671875" customWidth="1"/>
    <col min="326" max="326" width="19.6640625" bestFit="1" customWidth="1"/>
    <col min="327" max="327" width="9.77734375" bestFit="1" customWidth="1"/>
    <col min="328" max="328" width="12.33203125" bestFit="1" customWidth="1"/>
    <col min="329" max="329" width="7.44140625" customWidth="1"/>
  </cols>
  <sheetData>
    <row r="1" spans="1:3">
      <c r="A1" s="69"/>
      <c r="B1" s="70"/>
      <c r="C1" s="71"/>
    </row>
    <row r="2" spans="1:3">
      <c r="A2" s="72"/>
      <c r="B2" s="73"/>
      <c r="C2" s="74"/>
    </row>
    <row r="3" spans="1:3">
      <c r="A3" s="72"/>
      <c r="B3" s="73"/>
      <c r="C3" s="74"/>
    </row>
    <row r="4" spans="1:3">
      <c r="A4" s="72"/>
      <c r="B4" s="73"/>
      <c r="C4" s="74"/>
    </row>
    <row r="5" spans="1:3">
      <c r="A5" s="72"/>
      <c r="B5" s="73"/>
      <c r="C5" s="74"/>
    </row>
    <row r="6" spans="1:3">
      <c r="A6" s="72"/>
      <c r="B6" s="73"/>
      <c r="C6" s="74"/>
    </row>
    <row r="7" spans="1:3">
      <c r="A7" s="72"/>
      <c r="B7" s="73"/>
      <c r="C7" s="74"/>
    </row>
    <row r="8" spans="1:3">
      <c r="A8" s="72"/>
      <c r="B8" s="73"/>
      <c r="C8" s="74"/>
    </row>
    <row r="9" spans="1:3">
      <c r="A9" s="72"/>
      <c r="B9" s="73"/>
      <c r="C9" s="74"/>
    </row>
    <row r="10" spans="1:3">
      <c r="A10" s="72"/>
      <c r="B10" s="73"/>
      <c r="C10" s="74"/>
    </row>
    <row r="11" spans="1:3">
      <c r="A11" s="72"/>
      <c r="B11" s="73"/>
      <c r="C11" s="74"/>
    </row>
    <row r="12" spans="1:3">
      <c r="A12" s="72"/>
      <c r="B12" s="73"/>
      <c r="C12" s="74"/>
    </row>
    <row r="13" spans="1:3">
      <c r="A13" s="72"/>
      <c r="B13" s="73"/>
      <c r="C13" s="74"/>
    </row>
    <row r="14" spans="1:3">
      <c r="A14" s="72"/>
      <c r="B14" s="73"/>
      <c r="C14" s="74"/>
    </row>
    <row r="15" spans="1:3">
      <c r="A15" s="72"/>
      <c r="B15" s="73"/>
      <c r="C15" s="74"/>
    </row>
    <row r="16" spans="1:3">
      <c r="A16" s="72"/>
      <c r="B16" s="73"/>
      <c r="C16" s="74"/>
    </row>
    <row r="17" spans="1:3">
      <c r="A17" s="72"/>
      <c r="B17" s="73"/>
      <c r="C17" s="74"/>
    </row>
    <row r="18" spans="1:3">
      <c r="A18" s="75"/>
      <c r="B18" s="76"/>
      <c r="C18" s="77"/>
    </row>
  </sheetData>
  <phoneticPr fontId="2" type="noConversion"/>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
  <sheetViews>
    <sheetView workbookViewId="0">
      <selection activeCell="C3" sqref="C3"/>
    </sheetView>
  </sheetViews>
  <sheetFormatPr defaultColWidth="8.88671875" defaultRowHeight="14.25"/>
  <cols>
    <col min="1" max="1" width="16.109375" style="5" customWidth="1"/>
    <col min="2" max="2" width="21.77734375" style="2" customWidth="1"/>
    <col min="3" max="3" width="11.33203125" style="8" customWidth="1"/>
    <col min="4" max="16384" width="8.88671875" style="2"/>
  </cols>
  <sheetData>
    <row r="1" spans="1:8" s="6" customFormat="1" ht="16.5" customHeight="1">
      <c r="A1" s="80" t="s">
        <v>72</v>
      </c>
      <c r="B1" s="81" t="s">
        <v>65</v>
      </c>
      <c r="C1" s="82" t="s">
        <v>73</v>
      </c>
      <c r="D1" s="82"/>
      <c r="E1" s="82"/>
      <c r="F1" s="82"/>
    </row>
    <row r="2" spans="1:8" s="6" customFormat="1" ht="33">
      <c r="A2" s="80"/>
      <c r="B2" s="81"/>
      <c r="C2" s="26" t="s">
        <v>66</v>
      </c>
      <c r="D2" s="26" t="s">
        <v>67</v>
      </c>
      <c r="E2" s="26" t="s">
        <v>68</v>
      </c>
      <c r="F2" s="26" t="s">
        <v>69</v>
      </c>
      <c r="H2" s="9"/>
    </row>
    <row r="3" spans="1:8" s="6" customFormat="1" ht="18.75" customHeight="1">
      <c r="A3" s="27" t="s">
        <v>74</v>
      </c>
      <c r="B3" s="10">
        <v>45</v>
      </c>
      <c r="C3" s="11">
        <v>2</v>
      </c>
      <c r="D3" s="11">
        <v>10</v>
      </c>
      <c r="E3" s="11">
        <f>(C3+D3)</f>
        <v>12</v>
      </c>
      <c r="F3" s="12">
        <f>PRODUCT(B3,E3,22)/1000</f>
        <v>11.88</v>
      </c>
    </row>
    <row r="4" spans="1:8" s="6" customFormat="1" ht="18.75" customHeight="1">
      <c r="A4" s="27" t="s">
        <v>75</v>
      </c>
      <c r="B4" s="10">
        <v>45</v>
      </c>
      <c r="C4" s="11">
        <v>2</v>
      </c>
      <c r="D4" s="11">
        <v>3</v>
      </c>
      <c r="E4" s="11">
        <f>(C4+D4)</f>
        <v>5</v>
      </c>
      <c r="F4" s="12">
        <f>PRODUCT(B4,E4,22)/1000</f>
        <v>4.95</v>
      </c>
    </row>
    <row r="5" spans="1:8" s="6" customFormat="1" ht="15">
      <c r="A5" s="13" t="s">
        <v>70</v>
      </c>
      <c r="B5" s="13"/>
      <c r="C5" s="14">
        <f>SUM(C3:C4)</f>
        <v>4</v>
      </c>
      <c r="D5" s="14">
        <f>SUM(D3:D4)</f>
        <v>13</v>
      </c>
      <c r="E5" s="14">
        <f>SUM(E3:E4)</f>
        <v>17</v>
      </c>
      <c r="F5" s="14">
        <f>SUM(F3:F4)</f>
        <v>16.830000000000002</v>
      </c>
    </row>
    <row r="6" spans="1:8" s="15" customFormat="1" ht="15"/>
    <row r="7" spans="1:8" s="15" customFormat="1" ht="15"/>
  </sheetData>
  <mergeCells count="3">
    <mergeCell ref="A1:A2"/>
    <mergeCell ref="B1:B2"/>
    <mergeCell ref="C1:F1"/>
  </mergeCells>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5"/>
  <sheetViews>
    <sheetView workbookViewId="0">
      <selection sqref="A1:C3"/>
    </sheetView>
  </sheetViews>
  <sheetFormatPr defaultColWidth="8.77734375" defaultRowHeight="14.25"/>
  <cols>
    <col min="1" max="1" width="12.88671875" style="16" customWidth="1"/>
    <col min="2" max="2" width="13.88671875" style="16" customWidth="1"/>
    <col min="3" max="3" width="22.5546875" style="16" customWidth="1"/>
    <col min="4" max="16384" width="8.77734375" style="16"/>
  </cols>
  <sheetData>
    <row r="1" spans="1:3">
      <c r="A1" s="24" t="s">
        <v>57</v>
      </c>
      <c r="B1" s="24" t="s">
        <v>58</v>
      </c>
      <c r="C1" s="25" t="s">
        <v>59</v>
      </c>
    </row>
    <row r="2" spans="1:3">
      <c r="A2" s="19" t="s">
        <v>80</v>
      </c>
      <c r="B2" s="19" t="s">
        <v>74</v>
      </c>
      <c r="C2" s="21" t="s">
        <v>76</v>
      </c>
    </row>
    <row r="3" spans="1:3">
      <c r="A3" s="19"/>
      <c r="B3" s="19" t="s">
        <v>75</v>
      </c>
      <c r="C3" s="21" t="s">
        <v>77</v>
      </c>
    </row>
    <row r="4" spans="1:3">
      <c r="A4" s="19"/>
      <c r="B4" s="19"/>
      <c r="C4" s="21"/>
    </row>
    <row r="5" spans="1:3">
      <c r="A5" s="19"/>
      <c r="B5" s="19"/>
      <c r="C5" s="21"/>
    </row>
    <row r="6" spans="1:3">
      <c r="A6" s="19"/>
      <c r="B6" s="19"/>
      <c r="C6" s="21"/>
    </row>
    <row r="7" spans="1:3">
      <c r="A7" s="19"/>
      <c r="B7" s="19"/>
      <c r="C7" s="21"/>
    </row>
    <row r="8" spans="1:3">
      <c r="A8" s="19"/>
      <c r="B8" s="19"/>
      <c r="C8" s="21"/>
    </row>
    <row r="9" spans="1:3">
      <c r="A9" s="19"/>
      <c r="B9" s="19"/>
      <c r="C9" s="21"/>
    </row>
    <row r="10" spans="1:3">
      <c r="A10" s="19"/>
      <c r="B10" s="19"/>
      <c r="C10" s="21"/>
    </row>
    <row r="11" spans="1:3">
      <c r="A11" s="19"/>
      <c r="B11" s="19"/>
      <c r="C11" s="21"/>
    </row>
    <row r="12" spans="1:3">
      <c r="A12" s="19"/>
      <c r="B12" s="19"/>
      <c r="C12" s="21"/>
    </row>
    <row r="13" spans="1:3">
      <c r="A13" s="19"/>
      <c r="B13" s="19"/>
      <c r="C13" s="21"/>
    </row>
    <row r="14" spans="1:3">
      <c r="A14" s="19"/>
      <c r="B14" s="19"/>
      <c r="C14" s="21"/>
    </row>
    <row r="15" spans="1:3">
      <c r="A15" s="19"/>
      <c r="B15" s="19"/>
      <c r="C15" s="21"/>
    </row>
    <row r="16" spans="1:3">
      <c r="A16" s="19"/>
      <c r="B16" s="19"/>
      <c r="C16" s="21"/>
    </row>
    <row r="17" spans="1:3">
      <c r="A17" s="19"/>
      <c r="B17" s="19"/>
      <c r="C17" s="21"/>
    </row>
    <row r="18" spans="1:3">
      <c r="A18" s="19"/>
      <c r="B18" s="19"/>
      <c r="C18" s="21"/>
    </row>
    <row r="19" spans="1:3">
      <c r="A19" s="19"/>
      <c r="B19" s="19"/>
      <c r="C19" s="21"/>
    </row>
    <row r="20" spans="1:3">
      <c r="A20" s="19"/>
      <c r="B20" s="20"/>
      <c r="C20" s="21"/>
    </row>
    <row r="21" spans="1:3">
      <c r="A21" s="19"/>
      <c r="B21" s="19"/>
      <c r="C21" s="21"/>
    </row>
    <row r="22" spans="1:3" ht="16.5" customHeight="1">
      <c r="A22" s="19"/>
      <c r="B22" s="19"/>
      <c r="C22" s="21"/>
    </row>
    <row r="23" spans="1:3">
      <c r="A23" s="19"/>
      <c r="B23" s="19"/>
      <c r="C23" s="21"/>
    </row>
    <row r="24" spans="1:3">
      <c r="A24" s="19"/>
      <c r="B24" s="19"/>
      <c r="C24" s="21"/>
    </row>
    <row r="25" spans="1:3">
      <c r="A25" s="19"/>
      <c r="B25" s="19"/>
      <c r="C25" s="21"/>
    </row>
    <row r="26" spans="1:3">
      <c r="A26" s="19"/>
      <c r="B26" s="19"/>
      <c r="C26" s="21"/>
    </row>
    <row r="27" spans="1:3">
      <c r="A27" s="19"/>
      <c r="B27" s="17"/>
      <c r="C27" s="21"/>
    </row>
    <row r="28" spans="1:3">
      <c r="A28" s="19"/>
      <c r="B28" s="17"/>
      <c r="C28" s="21"/>
    </row>
    <row r="29" spans="1:3">
      <c r="A29" s="19"/>
      <c r="B29" s="17"/>
      <c r="C29" s="21"/>
    </row>
    <row r="30" spans="1:3">
      <c r="A30" s="19"/>
      <c r="B30" s="17"/>
      <c r="C30" s="21"/>
    </row>
    <row r="31" spans="1:3">
      <c r="A31" s="19"/>
      <c r="B31" s="17"/>
      <c r="C31" s="21"/>
    </row>
    <row r="32" spans="1:3">
      <c r="A32" s="19"/>
      <c r="B32" s="17"/>
      <c r="C32" s="21"/>
    </row>
    <row r="33" spans="1:3">
      <c r="A33" s="19"/>
      <c r="B33" s="17"/>
      <c r="C33" s="21"/>
    </row>
    <row r="34" spans="1:3">
      <c r="A34" s="23"/>
      <c r="B34" s="17"/>
      <c r="C34" s="21"/>
    </row>
    <row r="35" spans="1:3">
      <c r="A35" s="7"/>
      <c r="B35" s="17"/>
      <c r="C35" s="21"/>
    </row>
    <row r="36" spans="1:3">
      <c r="A36" s="7"/>
      <c r="B36" s="17"/>
      <c r="C36" s="21"/>
    </row>
    <row r="37" spans="1:3">
      <c r="B37" s="17"/>
      <c r="C37" s="21"/>
    </row>
    <row r="38" spans="1:3">
      <c r="B38" s="17"/>
      <c r="C38" s="21"/>
    </row>
    <row r="39" spans="1:3">
      <c r="B39" s="17"/>
      <c r="C39" s="21"/>
    </row>
    <row r="40" spans="1:3">
      <c r="B40" s="17"/>
      <c r="C40" s="21"/>
    </row>
    <row r="41" spans="1:3">
      <c r="C41" s="21"/>
    </row>
    <row r="42" spans="1:3">
      <c r="C42" s="21"/>
    </row>
    <row r="43" spans="1:3">
      <c r="C43" s="21"/>
    </row>
    <row r="44" spans="1:3">
      <c r="C44" s="21"/>
    </row>
    <row r="45" spans="1:3">
      <c r="C45" s="22"/>
    </row>
  </sheetData>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4</vt:i4>
      </vt:variant>
    </vt:vector>
  </HeadingPairs>
  <TitlesOfParts>
    <vt:vector size="12" baseType="lpstr">
      <vt:lpstr>Sheet2</vt:lpstr>
      <vt:lpstr>全部RM</vt:lpstr>
      <vt:lpstr>Sheet1</vt:lpstr>
      <vt:lpstr>Sheet3</vt:lpstr>
      <vt:lpstr>RM统计</vt:lpstr>
      <vt:lpstr>产业月度趋势图</vt:lpstr>
      <vt:lpstr>吞吐量</vt:lpstr>
      <vt:lpstr>常量值</vt:lpstr>
      <vt:lpstr>全部RM!Print_Area</vt:lpstr>
      <vt:lpstr>部件</vt:lpstr>
      <vt:lpstr>项目</vt:lpstr>
      <vt:lpstr>需求处理人</vt:lpstr>
    </vt:vector>
  </TitlesOfParts>
  <Company>Huawei Technologies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Jianghaijun</dc:creator>
  <cp:lastModifiedBy>Caojiesheng (Jason)</cp:lastModifiedBy>
  <cp:lastPrinted>2007-03-23T05:43:02Z</cp:lastPrinted>
  <dcterms:created xsi:type="dcterms:W3CDTF">2003-11-11T03:59:45Z</dcterms:created>
  <dcterms:modified xsi:type="dcterms:W3CDTF">2017-08-01T01:15:16Z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(3)nbyDGkkOBuXADNEi88hgAkwOuPPir8k5UA3edjswtaFe++q27eCXwk/wOlMwINAWoGczidLH
H/M+86bFJomxrRm2kcqRulRJ5SykaifuUoprXPSJP+B7LrPDayHhT/Cwnli54ZnSdul+HYxy
LzOG8Q04qcOvOCfdDN8TUSBYOtrD/d9Z5C+l3uE0Aiuece076xP26/3fdPtoNctBpX9IzOvm
JPqWVb971yrBNRSNtaFTT</vt:lpwstr>
  </property>
  <property fmtid="{D5CDD505-2E9C-101B-9397-08002B2CF9AE}" pid="3" name="_ms_pID_7253431">
    <vt:lpwstr>kbwcu+Z3ivC6kMZ2cjftrKD9yhOqXhu91hOxHU+BrGs7KAfZ5Eb
9aKXF6lHKiZ4gy8jkQBlMFh8pUEKtiT+074x3jcVj+Vyt057VDgFnft9tkgTEfQBQ2vksXw+
XWshJtqqxbfMBvAF6s6HxDePegMz3qCUlArpnb7I7CpoZl3RF8AePmGvXIA5LXne7SM8UsYy
r4eOg4bDV504s+JwVzto842MRfIdIg8R2OPHRwX8Xi</vt:lpwstr>
  </property>
  <property fmtid="{D5CDD505-2E9C-101B-9397-08002B2CF9AE}" pid="4" name="_ms_pID_7253432">
    <vt:lpwstr>9dMBUpQJE62DaUs+o=</vt:lpwstr>
  </property>
  <property fmtid="{D5CDD505-2E9C-101B-9397-08002B2CF9AE}" pid="5" name="_new_ms_pID_72543">
    <vt:lpwstr>(3)LWiKAJKArEEC64BL5zOzgo+6z9cr2EPpcXAyo6fcQXr1dUg6u9vXSy0WT/FMik7F/9QT42HZ
QNgYrvv7pMX3Kicke0rSsVwzACR3VNF1G607eUmL9LPVhMvuXjgY99/4cF6lijN2+/9kagF1
elHkBwHL+p2yPqex0+RPpUFeyiYnRJ9TFJobQ5XJcC/K46TBAqdm3e8bOUDAo5WVQ/ItnUTp
bxWmXhDiX1hWqUmjAJ</vt:lpwstr>
  </property>
  <property fmtid="{D5CDD505-2E9C-101B-9397-08002B2CF9AE}" pid="6" name="_new_ms_pID_725431">
    <vt:lpwstr>CWM8DIp+HEC8OSpLnWBbesG3uDzrEsz3OkXCscL07glWlOuUg88ck7
4NfdScA3FQg78ExrUAMU3XY8NG/PnMG6POyqQViBDOAooEyctip+kOxXS3MeZmPmN1nhThxt
9N4mDBBcrfMsXdfmWT0QSmGuC4z1YssoJwHhPbNYSVfSFAksZgao35JGvJeSaaEfHYlS0fYi
/I0NdSLWX6fOJAnmJ/Y/Or4Lsds3Gdx2a2NO</vt:lpwstr>
  </property>
  <property fmtid="{D5CDD505-2E9C-101B-9397-08002B2CF9AE}" pid="7" name="_new_ms_pID_725432">
    <vt:lpwstr>hI5gj7yp85Pzd8mdtZ6vaOR0nUPu1ih1e+tL
go0N7SAZ33pDAXSRdIjKfk7P9nIkD6d3R52CceCU5CVUlBXNyq0=</vt:lpwstr>
  </property>
  <property fmtid="{D5CDD505-2E9C-101B-9397-08002B2CF9AE}" pid="8" name="_2015_ms_pID_725343">
    <vt:lpwstr>(3)jb2BHxncXxouhyLn9gNtrbfXHbV+XYlPo/E/ZsfG6rLkWDQaD18kIMr66bLh/4zzkoZDs+zD
xcv9gsyAWGjjkNy5i44QHUdRCN/qT+kbJ4FUGoW837u+wF66VtEcJXlN7OnLklBzhQ3Ely9f
4dcRPpvrt7DTY8H9XMBbVuDarKT5rCtVYOQzNHC1I8G9412PSoDbnecOchRzBolhPT1m601U
GJMwgoFzmDRZnPvO4D</vt:lpwstr>
  </property>
  <property fmtid="{D5CDD505-2E9C-101B-9397-08002B2CF9AE}" pid="9" name="_2015_ms_pID_7253431">
    <vt:lpwstr>VkJFoeHLdpILwlb1IB+DhcKJHS3S2qNeq6GSXDKQUNg7FPu+KQZF7b
GZmQvpuxUi6ddLOZbxlZ28eSmLL2VvZQI6ADsDorDCltTv3qqQkz5amHwNxY4WgV9VS+J5zJ
Vw8HxEH6yIowKJ3u0vnDh1kNVa6AxTrNa/KFaCJUnp2g7uAj2QI5uAVg3y3LRJh84UzSpL0N
/4pr35n60bZxoT78IeRqp/591xjgh+QiwyXO</vt:lpwstr>
  </property>
  <property fmtid="{D5CDD505-2E9C-101B-9397-08002B2CF9AE}" pid="10" name="_2015_ms_pID_7253432">
    <vt:lpwstr>8XxgS5KynMoI06fFP61/1h3i8bn8oGglS++1
p1GqLJZv/zGebbf9ft5k4NS+1QIz8U1cLTKtvcCr6X5ePrPIerI=</vt:lpwstr>
  </property>
  <property fmtid="{D5CDD505-2E9C-101B-9397-08002B2CF9AE}" pid="11" name="_readonly">
    <vt:lpwstr/>
  </property>
  <property fmtid="{D5CDD505-2E9C-101B-9397-08002B2CF9AE}" pid="12" name="_change">
    <vt:lpwstr/>
  </property>
  <property fmtid="{D5CDD505-2E9C-101B-9397-08002B2CF9AE}" pid="13" name="_full-control">
    <vt:lpwstr/>
  </property>
  <property fmtid="{D5CDD505-2E9C-101B-9397-08002B2CF9AE}" pid="14" name="sflag">
    <vt:lpwstr>1501549989</vt:lpwstr>
  </property>
</Properties>
</file>