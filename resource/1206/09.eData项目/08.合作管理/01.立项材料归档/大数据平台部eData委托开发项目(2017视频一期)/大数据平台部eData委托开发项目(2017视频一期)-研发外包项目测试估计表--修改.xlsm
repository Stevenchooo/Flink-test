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wx326257\Desktop\"/>
    </mc:Choice>
  </mc:AlternateContent>
  <bookViews>
    <workbookView xWindow="120" yWindow="105" windowWidth="12120" windowHeight="9120" tabRatio="758" activeTab="6"/>
  </bookViews>
  <sheets>
    <sheet name="Info" sheetId="10793" r:id="rId1"/>
    <sheet name="BasicInfo" sheetId="1" state="hidden" r:id="rId2"/>
    <sheet name="Est" sheetId="10923" state="hidden" r:id="rId3"/>
    <sheet name="Effort" sheetId="10789" state="hidden" r:id="rId4"/>
    <sheet name="EDC&amp;EDP_FuncList" sheetId="10926" r:id="rId5"/>
    <sheet name="EDC&amp;EDP_Est" sheetId="10927" r:id="rId6"/>
    <sheet name="EDC&amp;EDP_Effort" sheetId="10928" r:id="rId7"/>
    <sheet name="BDI_FuncList" sheetId="10929" r:id="rId8"/>
    <sheet name="BDI_Est" sheetId="10930" r:id="rId9"/>
    <sheet name="BDI_Effort" sheetId="10931" r:id="rId10"/>
    <sheet name="TotalEffort" sheetId="10790" r:id="rId11"/>
    <sheet name="帮助" sheetId="10925" r:id="rId12"/>
    <sheet name="模板信息" sheetId="10924" r:id="rId13"/>
    <sheet name="help" sheetId="10788" state="hidden" r:id="rId14"/>
  </sheets>
  <definedNames>
    <definedName name="AutoTest" localSheetId="9">Info!#REF!</definedName>
    <definedName name="AutoTest" localSheetId="8">Info!#REF!</definedName>
    <definedName name="AutoTest" localSheetId="7">Info!#REF!</definedName>
    <definedName name="AutoTest" localSheetId="6">Info!#REF!</definedName>
    <definedName name="AutoTest" localSheetId="5">Info!#REF!</definedName>
    <definedName name="AutoTest" localSheetId="4">Info!#REF!</definedName>
    <definedName name="AutoTest">Info!#REF!</definedName>
    <definedName name="ConfMod">Info!$A$20</definedName>
    <definedName name="NOAutoTest" localSheetId="9">Info!#REF!</definedName>
    <definedName name="NOAutoTest" localSheetId="8">Info!#REF!</definedName>
    <definedName name="NOAutoTest" localSheetId="7">Info!#REF!</definedName>
    <definedName name="NOAutoTest" localSheetId="6">Info!#REF!</definedName>
    <definedName name="NOAutoTest" localSheetId="5">Info!#REF!</definedName>
    <definedName name="NOAutoTest" localSheetId="4">Info!#REF!</definedName>
    <definedName name="NOAutoTest">Info!#REF!</definedName>
    <definedName name="已存在模块" localSheetId="9">#REF!</definedName>
    <definedName name="已存在模块" localSheetId="8">#REF!</definedName>
    <definedName name="已存在模块" localSheetId="7">#REF!</definedName>
    <definedName name="已存在模块" localSheetId="6">#REF!</definedName>
    <definedName name="已存在模块" localSheetId="5">#REF!</definedName>
    <definedName name="已存在模块" localSheetId="4">#REF!</definedName>
    <definedName name="已存在模块">#REF!</definedName>
  </definedNames>
  <calcPr calcId="152511"/>
</workbook>
</file>

<file path=xl/calcChain.xml><?xml version="1.0" encoding="utf-8"?>
<calcChain xmlns="http://schemas.openxmlformats.org/spreadsheetml/2006/main">
  <c r="D40" i="10790" l="1"/>
  <c r="D17" i="10790"/>
  <c r="C36" i="10790"/>
  <c r="C29" i="10790"/>
  <c r="C15" i="10790"/>
  <c r="C14" i="10790" s="1"/>
  <c r="B216" i="10931" l="1"/>
  <c r="C216" i="10931" s="1"/>
  <c r="B215" i="10931"/>
  <c r="C215" i="10931" s="1"/>
  <c r="B214" i="10931"/>
  <c r="C214" i="10931" s="1"/>
  <c r="B213" i="10931"/>
  <c r="C213" i="10931" s="1"/>
  <c r="B212" i="10931"/>
  <c r="C212" i="10931" s="1"/>
  <c r="B211" i="10931"/>
  <c r="C211" i="10931" s="1"/>
  <c r="B210" i="10931"/>
  <c r="C210" i="10931" s="1"/>
  <c r="B209" i="10931"/>
  <c r="C209" i="10931" s="1"/>
  <c r="B208" i="10931"/>
  <c r="C208" i="10931" s="1"/>
  <c r="B207" i="10931"/>
  <c r="C207" i="10931" s="1"/>
  <c r="B206" i="10931"/>
  <c r="C206" i="10931" s="1"/>
  <c r="B205" i="10931"/>
  <c r="C205" i="10931" s="1"/>
  <c r="B204" i="10931"/>
  <c r="C204" i="10931" s="1"/>
  <c r="B203" i="10931"/>
  <c r="C203" i="10931" s="1"/>
  <c r="B202" i="10931"/>
  <c r="C202" i="10931" s="1"/>
  <c r="B201" i="10931"/>
  <c r="C201" i="10931" s="1"/>
  <c r="B200" i="10931"/>
  <c r="C200" i="10931" s="1"/>
  <c r="B199" i="10931"/>
  <c r="C199" i="10931" s="1"/>
  <c r="B198" i="10931"/>
  <c r="C198" i="10931" s="1"/>
  <c r="B197" i="10931"/>
  <c r="C197" i="10931" s="1"/>
  <c r="B196" i="10931"/>
  <c r="C196" i="10931" s="1"/>
  <c r="B195" i="10931"/>
  <c r="C195" i="10931" s="1"/>
  <c r="B194" i="10931"/>
  <c r="C194" i="10931" s="1"/>
  <c r="B193" i="10931"/>
  <c r="C193" i="10931" s="1"/>
  <c r="B192" i="10931"/>
  <c r="C192" i="10931" s="1"/>
  <c r="B191" i="10931"/>
  <c r="C191" i="10931" s="1"/>
  <c r="B190" i="10931"/>
  <c r="C190" i="10931" s="1"/>
  <c r="B189" i="10931"/>
  <c r="C189" i="10931" s="1"/>
  <c r="B188" i="10931"/>
  <c r="C188" i="10931" s="1"/>
  <c r="B187" i="10931"/>
  <c r="C187" i="10931" s="1"/>
  <c r="B186" i="10931"/>
  <c r="C186" i="10931" s="1"/>
  <c r="B185" i="10931"/>
  <c r="C185" i="10931" s="1"/>
  <c r="B184" i="10931"/>
  <c r="C184" i="10931" s="1"/>
  <c r="B183" i="10931"/>
  <c r="C183" i="10931" s="1"/>
  <c r="B182" i="10931"/>
  <c r="C182" i="10931" s="1"/>
  <c r="B181" i="10931"/>
  <c r="C181" i="10931" s="1"/>
  <c r="B180" i="10931"/>
  <c r="C180" i="10931" s="1"/>
  <c r="B179" i="10931"/>
  <c r="C179" i="10931" s="1"/>
  <c r="B178" i="10931"/>
  <c r="C178" i="10931" s="1"/>
  <c r="B177" i="10931"/>
  <c r="C177" i="10931" s="1"/>
  <c r="B176" i="10931"/>
  <c r="C176" i="10931" s="1"/>
  <c r="B175" i="10931"/>
  <c r="C175" i="10931" s="1"/>
  <c r="B174" i="10931"/>
  <c r="C174" i="10931" s="1"/>
  <c r="B173" i="10931"/>
  <c r="C173" i="10931" s="1"/>
  <c r="B172" i="10931"/>
  <c r="C172" i="10931" s="1"/>
  <c r="B171" i="10931"/>
  <c r="C171" i="10931" s="1"/>
  <c r="B170" i="10931"/>
  <c r="C170" i="10931" s="1"/>
  <c r="B169" i="10931"/>
  <c r="C169" i="10931" s="1"/>
  <c r="B168" i="10931"/>
  <c r="C168" i="10931" s="1"/>
  <c r="B167" i="10931"/>
  <c r="C167" i="10931" s="1"/>
  <c r="B166" i="10931"/>
  <c r="C166" i="10931" s="1"/>
  <c r="B165" i="10931"/>
  <c r="C165" i="10931" s="1"/>
  <c r="B164" i="10931"/>
  <c r="C164" i="10931" s="1"/>
  <c r="B163" i="10931"/>
  <c r="C163" i="10931" s="1"/>
  <c r="B162" i="10931"/>
  <c r="C162" i="10931" s="1"/>
  <c r="B161" i="10931"/>
  <c r="C161" i="10931" s="1"/>
  <c r="B160" i="10931"/>
  <c r="C160" i="10931" s="1"/>
  <c r="B159" i="10931"/>
  <c r="C159" i="10931" s="1"/>
  <c r="B158" i="10931"/>
  <c r="C158" i="10931" s="1"/>
  <c r="B157" i="10931"/>
  <c r="C157" i="10931" s="1"/>
  <c r="B156" i="10931"/>
  <c r="C156" i="10931" s="1"/>
  <c r="B155" i="10931"/>
  <c r="C155" i="10931" s="1"/>
  <c r="B154" i="10931"/>
  <c r="C154" i="10931" s="1"/>
  <c r="B153" i="10931"/>
  <c r="C153" i="10931" s="1"/>
  <c r="B152" i="10931"/>
  <c r="C152" i="10931" s="1"/>
  <c r="B151" i="10931"/>
  <c r="C151" i="10931" s="1"/>
  <c r="B150" i="10931"/>
  <c r="C150" i="10931" s="1"/>
  <c r="B149" i="10931"/>
  <c r="C149" i="10931" s="1"/>
  <c r="B148" i="10931"/>
  <c r="C148" i="10931" s="1"/>
  <c r="B147" i="10931"/>
  <c r="C147" i="10931" s="1"/>
  <c r="B146" i="10931"/>
  <c r="C146" i="10931" s="1"/>
  <c r="B145" i="10931"/>
  <c r="C145" i="10931" s="1"/>
  <c r="B144" i="10931"/>
  <c r="C144" i="10931" s="1"/>
  <c r="B143" i="10931"/>
  <c r="C143" i="10931" s="1"/>
  <c r="B142" i="10931"/>
  <c r="C142" i="10931" s="1"/>
  <c r="B141" i="10931"/>
  <c r="C141" i="10931" s="1"/>
  <c r="B140" i="10931"/>
  <c r="C140" i="10931" s="1"/>
  <c r="B139" i="10931"/>
  <c r="C139" i="10931" s="1"/>
  <c r="B138" i="10931"/>
  <c r="C138" i="10931" s="1"/>
  <c r="B137" i="10931"/>
  <c r="C137" i="10931" s="1"/>
  <c r="B136" i="10931"/>
  <c r="C136" i="10931" s="1"/>
  <c r="B135" i="10931"/>
  <c r="C135" i="10931" s="1"/>
  <c r="B134" i="10931"/>
  <c r="C134" i="10931" s="1"/>
  <c r="B133" i="10931"/>
  <c r="C133" i="10931" s="1"/>
  <c r="B132" i="10931"/>
  <c r="C132" i="10931" s="1"/>
  <c r="B131" i="10931"/>
  <c r="C131" i="10931" s="1"/>
  <c r="B130" i="10931"/>
  <c r="C130" i="10931" s="1"/>
  <c r="B129" i="10931"/>
  <c r="C129" i="10931" s="1"/>
  <c r="B128" i="10931"/>
  <c r="C128" i="10931" s="1"/>
  <c r="B127" i="10931"/>
  <c r="C127" i="10931" s="1"/>
  <c r="B126" i="10931"/>
  <c r="C126" i="10931" s="1"/>
  <c r="B125" i="10931"/>
  <c r="C125" i="10931" s="1"/>
  <c r="B124" i="10931"/>
  <c r="C124" i="10931" s="1"/>
  <c r="B123" i="10931"/>
  <c r="C123" i="10931" s="1"/>
  <c r="B122" i="10931"/>
  <c r="C122" i="10931" s="1"/>
  <c r="B121" i="10931"/>
  <c r="C121" i="10931" s="1"/>
  <c r="B120" i="10931"/>
  <c r="C120" i="10931" s="1"/>
  <c r="B119" i="10931"/>
  <c r="C119" i="10931" s="1"/>
  <c r="B118" i="10931"/>
  <c r="C118" i="10931" s="1"/>
  <c r="B117" i="10931"/>
  <c r="C117" i="10931" s="1"/>
  <c r="B116" i="10931"/>
  <c r="C116" i="10931" s="1"/>
  <c r="B115" i="10931"/>
  <c r="C115" i="10931" s="1"/>
  <c r="B114" i="10931"/>
  <c r="C114" i="10931" s="1"/>
  <c r="B113" i="10931"/>
  <c r="C113" i="10931" s="1"/>
  <c r="B112" i="10931"/>
  <c r="C112" i="10931" s="1"/>
  <c r="B111" i="10931"/>
  <c r="C111" i="10931" s="1"/>
  <c r="B110" i="10931"/>
  <c r="C110" i="10931" s="1"/>
  <c r="B109" i="10931"/>
  <c r="C109" i="10931" s="1"/>
  <c r="B108" i="10931"/>
  <c r="C108" i="10931" s="1"/>
  <c r="B107" i="10931"/>
  <c r="C107" i="10931" s="1"/>
  <c r="B106" i="10931"/>
  <c r="C106" i="10931" s="1"/>
  <c r="B105" i="10931"/>
  <c r="C105" i="10931" s="1"/>
  <c r="B104" i="10931"/>
  <c r="C104" i="10931" s="1"/>
  <c r="B103" i="10931"/>
  <c r="C103" i="10931" s="1"/>
  <c r="B102" i="10931"/>
  <c r="C102" i="10931" s="1"/>
  <c r="B101" i="10931"/>
  <c r="C101" i="10931" s="1"/>
  <c r="B100" i="10931"/>
  <c r="C100" i="10931" s="1"/>
  <c r="B99" i="10931"/>
  <c r="C99" i="10931" s="1"/>
  <c r="B98" i="10931"/>
  <c r="C98" i="10931" s="1"/>
  <c r="B97" i="10931"/>
  <c r="C97" i="10931" s="1"/>
  <c r="B96" i="10931"/>
  <c r="C96" i="10931" s="1"/>
  <c r="B95" i="10931"/>
  <c r="C95" i="10931" s="1"/>
  <c r="B94" i="10931"/>
  <c r="C94" i="10931" s="1"/>
  <c r="B93" i="10931"/>
  <c r="C93" i="10931" s="1"/>
  <c r="B92" i="10931"/>
  <c r="C92" i="10931" s="1"/>
  <c r="B91" i="10931"/>
  <c r="C91" i="10931" s="1"/>
  <c r="B90" i="10931"/>
  <c r="C90" i="10931" s="1"/>
  <c r="B89" i="10931"/>
  <c r="C89" i="10931" s="1"/>
  <c r="B88" i="10931"/>
  <c r="C88" i="10931" s="1"/>
  <c r="B87" i="10931"/>
  <c r="C87" i="10931" s="1"/>
  <c r="B86" i="10931"/>
  <c r="C86" i="10931" s="1"/>
  <c r="B85" i="10931"/>
  <c r="C85" i="10931" s="1"/>
  <c r="B84" i="10931"/>
  <c r="C84" i="10931" s="1"/>
  <c r="B83" i="10931"/>
  <c r="C83" i="10931" s="1"/>
  <c r="B82" i="10931"/>
  <c r="C82" i="10931" s="1"/>
  <c r="B81" i="10931"/>
  <c r="C81" i="10931" s="1"/>
  <c r="B80" i="10931"/>
  <c r="C80" i="10931" s="1"/>
  <c r="B79" i="10931"/>
  <c r="C79" i="10931" s="1"/>
  <c r="B78" i="10931"/>
  <c r="C78" i="10931" s="1"/>
  <c r="B77" i="10931"/>
  <c r="C77" i="10931" s="1"/>
  <c r="B76" i="10931"/>
  <c r="C76" i="10931" s="1"/>
  <c r="B75" i="10931"/>
  <c r="C75" i="10931" s="1"/>
  <c r="B74" i="10931"/>
  <c r="C74" i="10931" s="1"/>
  <c r="B73" i="10931"/>
  <c r="C73" i="10931" s="1"/>
  <c r="B72" i="10931"/>
  <c r="C72" i="10931" s="1"/>
  <c r="B71" i="10931"/>
  <c r="C71" i="10931" s="1"/>
  <c r="B70" i="10931"/>
  <c r="C70" i="10931" s="1"/>
  <c r="B69" i="10931"/>
  <c r="C69" i="10931" s="1"/>
  <c r="B68" i="10931"/>
  <c r="C68" i="10931" s="1"/>
  <c r="B67" i="10931"/>
  <c r="C67" i="10931" s="1"/>
  <c r="B66" i="10931"/>
  <c r="C66" i="10931" s="1"/>
  <c r="B65" i="10931"/>
  <c r="C65" i="10931" s="1"/>
  <c r="B64" i="10931"/>
  <c r="C64" i="10931" s="1"/>
  <c r="B63" i="10931"/>
  <c r="C63" i="10931" s="1"/>
  <c r="B62" i="10931"/>
  <c r="C62" i="10931" s="1"/>
  <c r="B61" i="10931"/>
  <c r="C61" i="10931" s="1"/>
  <c r="B60" i="10931"/>
  <c r="C60" i="10931" s="1"/>
  <c r="B59" i="10931"/>
  <c r="C59" i="10931" s="1"/>
  <c r="B58" i="10931"/>
  <c r="C58" i="10931" s="1"/>
  <c r="B57" i="10931"/>
  <c r="C57" i="10931" s="1"/>
  <c r="B56" i="10931"/>
  <c r="C56" i="10931" s="1"/>
  <c r="B55" i="10931"/>
  <c r="C55" i="10931" s="1"/>
  <c r="B54" i="10931"/>
  <c r="C54" i="10931" s="1"/>
  <c r="B53" i="10931"/>
  <c r="C53" i="10931" s="1"/>
  <c r="B52" i="10931"/>
  <c r="C52" i="10931" s="1"/>
  <c r="B51" i="10931"/>
  <c r="C51" i="10931" s="1"/>
  <c r="B50" i="10931"/>
  <c r="C50" i="10931" s="1"/>
  <c r="B49" i="10931"/>
  <c r="C49" i="10931" s="1"/>
  <c r="B48" i="10931"/>
  <c r="C48" i="10931" s="1"/>
  <c r="B47" i="10931"/>
  <c r="C47" i="10931" s="1"/>
  <c r="B46" i="10931"/>
  <c r="C46" i="10931" s="1"/>
  <c r="D46" i="10931" s="1"/>
  <c r="B45" i="10931"/>
  <c r="C45" i="10931" s="1"/>
  <c r="D45" i="10931" s="1"/>
  <c r="B44" i="10931"/>
  <c r="C44" i="10931" s="1"/>
  <c r="D44" i="10931" s="1"/>
  <c r="B43" i="10931"/>
  <c r="C43" i="10931" s="1"/>
  <c r="D43" i="10931" s="1"/>
  <c r="B42" i="10931"/>
  <c r="C42" i="10931" s="1"/>
  <c r="D42" i="10931" s="1"/>
  <c r="B41" i="10931"/>
  <c r="C41" i="10931" s="1"/>
  <c r="D41" i="10931" s="1"/>
  <c r="B40" i="10931"/>
  <c r="C40" i="10931" s="1"/>
  <c r="D40" i="10931" s="1"/>
  <c r="B39" i="10931"/>
  <c r="C39" i="10931" s="1"/>
  <c r="D39" i="10931" s="1"/>
  <c r="B38" i="10931"/>
  <c r="C38" i="10931" s="1"/>
  <c r="D38" i="10931" s="1"/>
  <c r="B37" i="10931"/>
  <c r="C37" i="10931" s="1"/>
  <c r="D37" i="10931" s="1"/>
  <c r="B36" i="10931"/>
  <c r="C36" i="10931" s="1"/>
  <c r="D36" i="10931" s="1"/>
  <c r="B35" i="10931"/>
  <c r="C35" i="10931" s="1"/>
  <c r="D35" i="10931" s="1"/>
  <c r="B34" i="10931"/>
  <c r="C34" i="10931" s="1"/>
  <c r="D34" i="10931" s="1"/>
  <c r="B33" i="10931"/>
  <c r="C33" i="10931" s="1"/>
  <c r="D33" i="10931" s="1"/>
  <c r="B32" i="10931"/>
  <c r="C32" i="10931" s="1"/>
  <c r="D32" i="10931" s="1"/>
  <c r="B31" i="10931"/>
  <c r="C31" i="10931" s="1"/>
  <c r="D31" i="10931" s="1"/>
  <c r="B30" i="10931"/>
  <c r="C30" i="10931" s="1"/>
  <c r="D30" i="10931" s="1"/>
  <c r="B29" i="10931"/>
  <c r="C29" i="10931" s="1"/>
  <c r="D29" i="10931" s="1"/>
  <c r="B28" i="10931"/>
  <c r="C28" i="10931" s="1"/>
  <c r="D28" i="10931" s="1"/>
  <c r="B27" i="10931"/>
  <c r="C27" i="10931" s="1"/>
  <c r="D27" i="10931" s="1"/>
  <c r="B26" i="10931"/>
  <c r="C26" i="10931" s="1"/>
  <c r="D26" i="10931" s="1"/>
  <c r="B25" i="10931"/>
  <c r="C25" i="10931" s="1"/>
  <c r="D25" i="10931" s="1"/>
  <c r="B24" i="10931"/>
  <c r="C24" i="10931" s="1"/>
  <c r="D24" i="10931" s="1"/>
  <c r="B23" i="10931"/>
  <c r="C23" i="10931" s="1"/>
  <c r="D23" i="10931" s="1"/>
  <c r="B22" i="10931"/>
  <c r="C22" i="10931" s="1"/>
  <c r="D22" i="10931" s="1"/>
  <c r="B21" i="10931"/>
  <c r="C21" i="10931" s="1"/>
  <c r="D21" i="10931" s="1"/>
  <c r="B20" i="10931"/>
  <c r="C20" i="10931" s="1"/>
  <c r="D20" i="10931" s="1"/>
  <c r="A206" i="10930"/>
  <c r="A205" i="10930"/>
  <c r="A204" i="10930"/>
  <c r="A203" i="10930"/>
  <c r="A202" i="10930"/>
  <c r="A201" i="10930"/>
  <c r="A200" i="10930"/>
  <c r="A199" i="10930"/>
  <c r="A198" i="10930"/>
  <c r="A197" i="10930"/>
  <c r="A196" i="10930"/>
  <c r="A195" i="10930"/>
  <c r="A194" i="10930"/>
  <c r="A193" i="10930"/>
  <c r="A192" i="10930"/>
  <c r="A191" i="10930"/>
  <c r="A190" i="10930"/>
  <c r="A189" i="10930"/>
  <c r="A188" i="10930"/>
  <c r="A187" i="10930"/>
  <c r="A186" i="10930"/>
  <c r="A185" i="10930"/>
  <c r="A184" i="10930"/>
  <c r="A183" i="10930"/>
  <c r="A182" i="10930"/>
  <c r="A181" i="10930"/>
  <c r="A180" i="10930"/>
  <c r="A179" i="10930"/>
  <c r="A178" i="10930"/>
  <c r="A177" i="10930"/>
  <c r="A176" i="10930"/>
  <c r="A175" i="10930"/>
  <c r="A174" i="10930"/>
  <c r="A173" i="10930"/>
  <c r="A172" i="10930"/>
  <c r="A171" i="10930"/>
  <c r="A170" i="10930"/>
  <c r="A169" i="10930"/>
  <c r="A168" i="10930"/>
  <c r="A167" i="10930"/>
  <c r="A166" i="10930"/>
  <c r="A165" i="10930"/>
  <c r="A164" i="10930"/>
  <c r="A163" i="10930"/>
  <c r="A162" i="10930"/>
  <c r="A161" i="10930"/>
  <c r="A160" i="10930"/>
  <c r="A159" i="10930"/>
  <c r="A158" i="10930"/>
  <c r="A157" i="10930"/>
  <c r="A156" i="10930"/>
  <c r="A155" i="10930"/>
  <c r="A154" i="10930"/>
  <c r="A153" i="10930"/>
  <c r="A152" i="10930"/>
  <c r="A151" i="10930"/>
  <c r="A150" i="10930"/>
  <c r="A149" i="10930"/>
  <c r="A148" i="10930"/>
  <c r="A147" i="10930"/>
  <c r="A146" i="10930"/>
  <c r="A145" i="10930"/>
  <c r="A144" i="10930"/>
  <c r="A143" i="10930"/>
  <c r="A142" i="10930"/>
  <c r="A141" i="10930"/>
  <c r="A140" i="10930"/>
  <c r="A139" i="10930"/>
  <c r="A138" i="10930"/>
  <c r="A137" i="10930"/>
  <c r="A136" i="10930"/>
  <c r="A135" i="10930"/>
  <c r="A134" i="10930"/>
  <c r="A133" i="10930"/>
  <c r="A132" i="10930"/>
  <c r="A131" i="10930"/>
  <c r="A130" i="10930"/>
  <c r="A129" i="10930"/>
  <c r="A128" i="10930"/>
  <c r="A127" i="10930"/>
  <c r="A126" i="10930"/>
  <c r="A125" i="10930"/>
  <c r="A124" i="10930"/>
  <c r="A123" i="10930"/>
  <c r="A122" i="10930"/>
  <c r="A121" i="10930"/>
  <c r="A120" i="10930"/>
  <c r="A119" i="10930"/>
  <c r="A118" i="10930"/>
  <c r="A117" i="10930"/>
  <c r="A116" i="10930"/>
  <c r="A115" i="10930"/>
  <c r="A114" i="10930"/>
  <c r="A113" i="10930"/>
  <c r="A112" i="10930"/>
  <c r="A111" i="10930"/>
  <c r="A110" i="10930"/>
  <c r="A109" i="10930"/>
  <c r="A108" i="10930"/>
  <c r="A107" i="10930"/>
  <c r="A106" i="10930"/>
  <c r="A105" i="10930"/>
  <c r="A104" i="10930"/>
  <c r="A103" i="10930"/>
  <c r="A102" i="10930"/>
  <c r="A101" i="10930"/>
  <c r="A100" i="10930"/>
  <c r="A99" i="10930"/>
  <c r="A98" i="10930"/>
  <c r="A97" i="10930"/>
  <c r="A96" i="10930"/>
  <c r="A95" i="10930"/>
  <c r="A94" i="10930"/>
  <c r="A93" i="10930"/>
  <c r="A92" i="10930"/>
  <c r="A91" i="10930"/>
  <c r="A90" i="10930"/>
  <c r="A89" i="10930"/>
  <c r="A88" i="10930"/>
  <c r="A87" i="10930"/>
  <c r="A86" i="10930"/>
  <c r="A85" i="10930"/>
  <c r="A84" i="10930"/>
  <c r="A83" i="10930"/>
  <c r="A82" i="10930"/>
  <c r="A81" i="10930"/>
  <c r="A80" i="10930"/>
  <c r="A79" i="10930"/>
  <c r="A78" i="10930"/>
  <c r="A77" i="10930"/>
  <c r="A76" i="10930"/>
  <c r="A75" i="10930"/>
  <c r="A74" i="10930"/>
  <c r="A73" i="10930"/>
  <c r="A72" i="10930"/>
  <c r="A71" i="10930"/>
  <c r="A70" i="10930"/>
  <c r="A69" i="10930"/>
  <c r="A68" i="10930"/>
  <c r="A67" i="10930"/>
  <c r="A66" i="10930"/>
  <c r="A65" i="10930"/>
  <c r="A64" i="10930"/>
  <c r="A63" i="10930"/>
  <c r="A62" i="10930"/>
  <c r="A61" i="10930"/>
  <c r="A60" i="10930"/>
  <c r="A59" i="10930"/>
  <c r="A58" i="10930"/>
  <c r="A57" i="10930"/>
  <c r="A56" i="10930"/>
  <c r="A55" i="10930"/>
  <c r="A54" i="10930"/>
  <c r="A53" i="10930"/>
  <c r="A52" i="10930"/>
  <c r="A51" i="10930"/>
  <c r="A50" i="10930"/>
  <c r="A49" i="10930"/>
  <c r="A48" i="10930"/>
  <c r="A47" i="10930"/>
  <c r="A46" i="10930"/>
  <c r="A45" i="10930"/>
  <c r="A44" i="10930"/>
  <c r="A43" i="10930"/>
  <c r="A42" i="10930"/>
  <c r="A41" i="10930"/>
  <c r="A40" i="10930"/>
  <c r="A39" i="10930"/>
  <c r="A38" i="10930"/>
  <c r="A37" i="10930"/>
  <c r="A36" i="10930"/>
  <c r="A35" i="10930"/>
  <c r="A34" i="10930"/>
  <c r="A33" i="10930"/>
  <c r="A32" i="10930"/>
  <c r="A31" i="10930"/>
  <c r="A30" i="10930"/>
  <c r="A29" i="10930"/>
  <c r="A28" i="10930"/>
  <c r="A27" i="10930"/>
  <c r="A26" i="10930"/>
  <c r="A25" i="10930"/>
  <c r="A24" i="10930"/>
  <c r="A23" i="10930"/>
  <c r="A22" i="10930"/>
  <c r="A21" i="10930"/>
  <c r="A20" i="10930"/>
  <c r="A19" i="10930"/>
  <c r="A18" i="10930"/>
  <c r="A17" i="10930"/>
  <c r="A16" i="10930"/>
  <c r="A15" i="10930"/>
  <c r="A14" i="10930"/>
  <c r="A13" i="10930"/>
  <c r="A12" i="10930"/>
  <c r="A11" i="10930"/>
  <c r="A10" i="10930"/>
  <c r="A9" i="10930"/>
  <c r="B19" i="10931" s="1"/>
  <c r="A8" i="10930"/>
  <c r="B18" i="10931" s="1"/>
  <c r="A7" i="10930"/>
  <c r="B17" i="10931" s="1"/>
  <c r="A6" i="10930"/>
  <c r="B16" i="10931" s="1"/>
  <c r="A5" i="10930"/>
  <c r="B15" i="10931" s="1"/>
  <c r="A4" i="10930"/>
  <c r="B14" i="10931" s="1"/>
  <c r="D173" i="10931"/>
  <c r="E172" i="10931"/>
  <c r="D172" i="10931"/>
  <c r="D171" i="10931"/>
  <c r="E170" i="10931"/>
  <c r="D170" i="10931"/>
  <c r="D169" i="10931"/>
  <c r="E168" i="10931"/>
  <c r="D168" i="10931"/>
  <c r="D167" i="10931"/>
  <c r="E166" i="10931"/>
  <c r="D166" i="10931"/>
  <c r="D165" i="10931"/>
  <c r="E164" i="10931"/>
  <c r="D164" i="10931"/>
  <c r="D163" i="10931"/>
  <c r="E162" i="10931"/>
  <c r="D162" i="10931"/>
  <c r="D161" i="10931"/>
  <c r="E160" i="10931"/>
  <c r="D160" i="10931"/>
  <c r="D159" i="10931"/>
  <c r="E158" i="10931"/>
  <c r="D158" i="10931"/>
  <c r="D157" i="10931"/>
  <c r="E156" i="10931"/>
  <c r="D156" i="10931"/>
  <c r="D155" i="10931"/>
  <c r="E154" i="10931"/>
  <c r="D154" i="10931"/>
  <c r="D153" i="10931"/>
  <c r="E152" i="10931"/>
  <c r="D152" i="10931"/>
  <c r="D151" i="10931"/>
  <c r="E150" i="10931"/>
  <c r="D150" i="10931"/>
  <c r="D149" i="10931"/>
  <c r="E148" i="10931"/>
  <c r="D148" i="10931"/>
  <c r="D147" i="10931"/>
  <c r="E146" i="10931"/>
  <c r="D146" i="10931"/>
  <c r="D145" i="10931"/>
  <c r="E144" i="10931"/>
  <c r="D144" i="10931"/>
  <c r="D143" i="10931"/>
  <c r="E142" i="10931"/>
  <c r="D142" i="10931"/>
  <c r="D141" i="10931"/>
  <c r="E140" i="10931"/>
  <c r="D140" i="10931"/>
  <c r="D139" i="10931"/>
  <c r="E138" i="10931"/>
  <c r="D138" i="10931"/>
  <c r="D137" i="10931"/>
  <c r="E136" i="10931"/>
  <c r="D136" i="10931"/>
  <c r="D135" i="10931"/>
  <c r="E134" i="10931"/>
  <c r="D134" i="10931"/>
  <c r="D133" i="10931"/>
  <c r="E132" i="10931"/>
  <c r="D132" i="10931"/>
  <c r="D131" i="10931"/>
  <c r="E130" i="10931"/>
  <c r="D130" i="10931"/>
  <c r="D129" i="10931"/>
  <c r="E128" i="10931"/>
  <c r="D128" i="10931"/>
  <c r="D127" i="10931"/>
  <c r="E126" i="10931"/>
  <c r="D126" i="10931"/>
  <c r="D125" i="10931"/>
  <c r="E124" i="10931"/>
  <c r="D124" i="10931"/>
  <c r="D123" i="10931"/>
  <c r="E122" i="10931"/>
  <c r="D122" i="10931"/>
  <c r="D121" i="10931"/>
  <c r="E120" i="10931"/>
  <c r="D120" i="10931"/>
  <c r="D119" i="10931"/>
  <c r="E118" i="10931"/>
  <c r="D118" i="10931"/>
  <c r="D117" i="10931"/>
  <c r="E116" i="10931"/>
  <c r="D116" i="10931"/>
  <c r="D115" i="10931"/>
  <c r="E114" i="10931"/>
  <c r="D114" i="10931"/>
  <c r="D113" i="10931"/>
  <c r="E112" i="10931"/>
  <c r="D112" i="10931"/>
  <c r="D111" i="10931"/>
  <c r="E110" i="10931"/>
  <c r="D110" i="10931"/>
  <c r="D109" i="10931"/>
  <c r="E108" i="10931"/>
  <c r="D108" i="10931"/>
  <c r="D107" i="10931"/>
  <c r="E106" i="10931"/>
  <c r="D106" i="10931"/>
  <c r="D105" i="10931"/>
  <c r="E104" i="10931"/>
  <c r="D104" i="10931"/>
  <c r="D103" i="10931"/>
  <c r="E102" i="10931"/>
  <c r="D102" i="10931"/>
  <c r="D101" i="10931"/>
  <c r="E100" i="10931"/>
  <c r="D100" i="10931"/>
  <c r="D99" i="10931"/>
  <c r="E98" i="10931"/>
  <c r="D98" i="10931"/>
  <c r="D97" i="10931"/>
  <c r="E96" i="10931"/>
  <c r="D96" i="10931"/>
  <c r="D95" i="10931"/>
  <c r="E94" i="10931"/>
  <c r="D94" i="10931"/>
  <c r="D93" i="10931"/>
  <c r="E92" i="10931"/>
  <c r="D92" i="10931"/>
  <c r="D91" i="10931"/>
  <c r="E90" i="10931"/>
  <c r="D90" i="10931"/>
  <c r="D89" i="10931"/>
  <c r="E88" i="10931"/>
  <c r="D88" i="10931"/>
  <c r="D87" i="10931"/>
  <c r="E86" i="10931"/>
  <c r="D86" i="10931"/>
  <c r="D85" i="10931"/>
  <c r="E84" i="10931"/>
  <c r="D84" i="10931"/>
  <c r="D83" i="10931"/>
  <c r="E82" i="10931"/>
  <c r="D82" i="10931"/>
  <c r="D81" i="10931"/>
  <c r="E80" i="10931"/>
  <c r="D80" i="10931"/>
  <c r="D79" i="10931"/>
  <c r="E78" i="10931"/>
  <c r="D78" i="10931"/>
  <c r="D77" i="10931"/>
  <c r="E76" i="10931"/>
  <c r="D76" i="10931"/>
  <c r="D75" i="10931"/>
  <c r="E74" i="10931"/>
  <c r="D74" i="10931"/>
  <c r="D73" i="10931"/>
  <c r="E72" i="10931"/>
  <c r="D72" i="10931"/>
  <c r="D71" i="10931"/>
  <c r="E70" i="10931"/>
  <c r="D70" i="10931"/>
  <c r="D69" i="10931"/>
  <c r="E68" i="10931"/>
  <c r="D68" i="10931"/>
  <c r="D67" i="10931"/>
  <c r="E66" i="10931"/>
  <c r="D66" i="10931"/>
  <c r="D65" i="10931"/>
  <c r="E64" i="10931"/>
  <c r="D64" i="10931"/>
  <c r="D63" i="10931"/>
  <c r="E62" i="10931"/>
  <c r="D62" i="10931"/>
  <c r="D61" i="10931"/>
  <c r="E60" i="10931"/>
  <c r="D60" i="10931"/>
  <c r="D59" i="10931"/>
  <c r="E58" i="10931"/>
  <c r="D58" i="10931"/>
  <c r="D57" i="10931"/>
  <c r="E56" i="10931"/>
  <c r="D56" i="10931"/>
  <c r="D55" i="10931"/>
  <c r="E54" i="10931"/>
  <c r="D54" i="10931"/>
  <c r="D53" i="10931"/>
  <c r="E52" i="10931"/>
  <c r="D52" i="10931"/>
  <c r="D51" i="10931"/>
  <c r="E50" i="10931"/>
  <c r="D50" i="10931"/>
  <c r="D49" i="10931"/>
  <c r="E48" i="10931"/>
  <c r="D48" i="10931"/>
  <c r="D47" i="10931"/>
  <c r="E8" i="10931"/>
  <c r="G206" i="10930"/>
  <c r="E206" i="10930"/>
  <c r="F206" i="10930" s="1"/>
  <c r="E205" i="10930"/>
  <c r="F205" i="10930" s="1"/>
  <c r="G204" i="10930"/>
  <c r="E204" i="10930"/>
  <c r="F204" i="10930" s="1"/>
  <c r="E203" i="10930"/>
  <c r="F203" i="10930" s="1"/>
  <c r="G202" i="10930"/>
  <c r="E202" i="10930"/>
  <c r="F202" i="10930" s="1"/>
  <c r="E201" i="10930"/>
  <c r="F201" i="10930" s="1"/>
  <c r="G200" i="10930"/>
  <c r="E200" i="10930"/>
  <c r="F200" i="10930" s="1"/>
  <c r="E199" i="10930"/>
  <c r="F199" i="10930" s="1"/>
  <c r="G198" i="10930"/>
  <c r="E198" i="10930"/>
  <c r="F198" i="10930" s="1"/>
  <c r="E197" i="10930"/>
  <c r="F197" i="10930" s="1"/>
  <c r="G196" i="10930"/>
  <c r="E196" i="10930"/>
  <c r="F196" i="10930" s="1"/>
  <c r="E195" i="10930"/>
  <c r="F195" i="10930" s="1"/>
  <c r="G194" i="10930"/>
  <c r="E194" i="10930"/>
  <c r="F194" i="10930" s="1"/>
  <c r="E193" i="10930"/>
  <c r="F193" i="10930" s="1"/>
  <c r="G192" i="10930"/>
  <c r="E192" i="10930"/>
  <c r="F192" i="10930" s="1"/>
  <c r="E191" i="10930"/>
  <c r="F191" i="10930" s="1"/>
  <c r="G190" i="10930"/>
  <c r="E190" i="10930"/>
  <c r="F190" i="10930" s="1"/>
  <c r="E189" i="10930"/>
  <c r="F189" i="10930" s="1"/>
  <c r="G188" i="10930"/>
  <c r="E188" i="10930"/>
  <c r="F188" i="10930" s="1"/>
  <c r="E187" i="10930"/>
  <c r="F187" i="10930" s="1"/>
  <c r="G186" i="10930"/>
  <c r="E186" i="10930"/>
  <c r="F186" i="10930" s="1"/>
  <c r="E185" i="10930"/>
  <c r="F185" i="10930" s="1"/>
  <c r="G184" i="10930"/>
  <c r="E184" i="10930"/>
  <c r="F184" i="10930" s="1"/>
  <c r="E183" i="10930"/>
  <c r="F183" i="10930" s="1"/>
  <c r="G182" i="10930"/>
  <c r="E182" i="10930"/>
  <c r="F182" i="10930" s="1"/>
  <c r="E181" i="10930"/>
  <c r="F181" i="10930" s="1"/>
  <c r="G180" i="10930"/>
  <c r="E180" i="10930"/>
  <c r="F180" i="10930" s="1"/>
  <c r="E179" i="10930"/>
  <c r="F179" i="10930" s="1"/>
  <c r="G178" i="10930"/>
  <c r="E178" i="10930"/>
  <c r="F178" i="10930" s="1"/>
  <c r="E177" i="10930"/>
  <c r="F177" i="10930" s="1"/>
  <c r="G176" i="10930"/>
  <c r="E176" i="10930"/>
  <c r="F176" i="10930" s="1"/>
  <c r="E175" i="10930"/>
  <c r="F175" i="10930" s="1"/>
  <c r="G174" i="10930"/>
  <c r="E174" i="10930"/>
  <c r="F174" i="10930" s="1"/>
  <c r="E173" i="10930"/>
  <c r="F173" i="10930" s="1"/>
  <c r="G172" i="10930"/>
  <c r="E172" i="10930"/>
  <c r="F172" i="10930" s="1"/>
  <c r="E171" i="10930"/>
  <c r="F171" i="10930" s="1"/>
  <c r="G170" i="10930"/>
  <c r="E170" i="10930"/>
  <c r="F170" i="10930" s="1"/>
  <c r="E169" i="10930"/>
  <c r="F169" i="10930" s="1"/>
  <c r="G168" i="10930"/>
  <c r="E168" i="10930"/>
  <c r="F168" i="10930" s="1"/>
  <c r="E167" i="10930"/>
  <c r="F167" i="10930" s="1"/>
  <c r="G166" i="10930"/>
  <c r="E166" i="10930"/>
  <c r="F166" i="10930" s="1"/>
  <c r="E165" i="10930"/>
  <c r="F165" i="10930" s="1"/>
  <c r="G164" i="10930"/>
  <c r="E164" i="10930"/>
  <c r="F164" i="10930" s="1"/>
  <c r="E163" i="10930"/>
  <c r="F163" i="10930" s="1"/>
  <c r="G162" i="10930"/>
  <c r="E162" i="10930"/>
  <c r="F162" i="10930" s="1"/>
  <c r="E161" i="10930"/>
  <c r="F161" i="10930" s="1"/>
  <c r="G160" i="10930"/>
  <c r="E160" i="10930"/>
  <c r="F160" i="10930" s="1"/>
  <c r="E159" i="10930"/>
  <c r="F159" i="10930" s="1"/>
  <c r="G158" i="10930"/>
  <c r="E158" i="10930"/>
  <c r="F158" i="10930" s="1"/>
  <c r="E157" i="10930"/>
  <c r="F157" i="10930" s="1"/>
  <c r="G156" i="10930"/>
  <c r="E156" i="10930"/>
  <c r="F156" i="10930" s="1"/>
  <c r="E155" i="10930"/>
  <c r="F155" i="10930" s="1"/>
  <c r="G154" i="10930"/>
  <c r="E154" i="10930"/>
  <c r="F154" i="10930" s="1"/>
  <c r="E153" i="10930"/>
  <c r="F153" i="10930" s="1"/>
  <c r="G152" i="10930"/>
  <c r="E152" i="10930"/>
  <c r="F152" i="10930" s="1"/>
  <c r="E151" i="10930"/>
  <c r="F151" i="10930" s="1"/>
  <c r="G150" i="10930"/>
  <c r="E150" i="10930"/>
  <c r="F150" i="10930" s="1"/>
  <c r="E149" i="10930"/>
  <c r="F149" i="10930" s="1"/>
  <c r="G148" i="10930"/>
  <c r="E148" i="10930"/>
  <c r="F148" i="10930" s="1"/>
  <c r="E147" i="10930"/>
  <c r="F147" i="10930" s="1"/>
  <c r="G146" i="10930"/>
  <c r="E146" i="10930"/>
  <c r="F146" i="10930" s="1"/>
  <c r="E145" i="10930"/>
  <c r="F145" i="10930" s="1"/>
  <c r="G144" i="10930"/>
  <c r="E144" i="10930"/>
  <c r="F144" i="10930" s="1"/>
  <c r="E143" i="10930"/>
  <c r="F143" i="10930" s="1"/>
  <c r="G142" i="10930"/>
  <c r="E142" i="10930"/>
  <c r="F142" i="10930" s="1"/>
  <c r="E141" i="10930"/>
  <c r="F141" i="10930" s="1"/>
  <c r="G140" i="10930"/>
  <c r="E140" i="10930"/>
  <c r="F140" i="10930" s="1"/>
  <c r="E139" i="10930"/>
  <c r="F139" i="10930" s="1"/>
  <c r="G138" i="10930"/>
  <c r="E138" i="10930"/>
  <c r="F138" i="10930" s="1"/>
  <c r="E137" i="10930"/>
  <c r="F137" i="10930" s="1"/>
  <c r="G136" i="10930"/>
  <c r="E136" i="10930"/>
  <c r="F136" i="10930" s="1"/>
  <c r="E135" i="10930"/>
  <c r="F135" i="10930" s="1"/>
  <c r="G134" i="10930"/>
  <c r="E134" i="10930"/>
  <c r="F134" i="10930" s="1"/>
  <c r="E133" i="10930"/>
  <c r="F133" i="10930" s="1"/>
  <c r="G132" i="10930"/>
  <c r="E132" i="10930"/>
  <c r="F132" i="10930" s="1"/>
  <c r="E131" i="10930"/>
  <c r="F131" i="10930" s="1"/>
  <c r="G130" i="10930"/>
  <c r="E130" i="10930"/>
  <c r="F130" i="10930" s="1"/>
  <c r="E129" i="10930"/>
  <c r="F129" i="10930" s="1"/>
  <c r="G128" i="10930"/>
  <c r="E128" i="10930"/>
  <c r="F128" i="10930" s="1"/>
  <c r="E127" i="10930"/>
  <c r="F127" i="10930" s="1"/>
  <c r="G126" i="10930"/>
  <c r="E126" i="10930"/>
  <c r="F126" i="10930" s="1"/>
  <c r="E125" i="10930"/>
  <c r="F125" i="10930" s="1"/>
  <c r="G124" i="10930"/>
  <c r="E124" i="10930"/>
  <c r="F124" i="10930" s="1"/>
  <c r="E123" i="10930"/>
  <c r="F123" i="10930" s="1"/>
  <c r="G122" i="10930"/>
  <c r="E122" i="10930"/>
  <c r="F122" i="10930" s="1"/>
  <c r="F121" i="10930"/>
  <c r="E121" i="10930"/>
  <c r="G121" i="10930" s="1"/>
  <c r="F120" i="10930"/>
  <c r="E120" i="10930"/>
  <c r="G120" i="10930" s="1"/>
  <c r="F119" i="10930"/>
  <c r="E119" i="10930"/>
  <c r="G119" i="10930" s="1"/>
  <c r="F118" i="10930"/>
  <c r="E118" i="10930"/>
  <c r="G118" i="10930" s="1"/>
  <c r="F117" i="10930"/>
  <c r="E117" i="10930"/>
  <c r="G117" i="10930" s="1"/>
  <c r="F116" i="10930"/>
  <c r="E116" i="10930"/>
  <c r="G116" i="10930" s="1"/>
  <c r="F115" i="10930"/>
  <c r="E115" i="10930"/>
  <c r="G115" i="10930" s="1"/>
  <c r="F114" i="10930"/>
  <c r="E114" i="10930"/>
  <c r="G114" i="10930" s="1"/>
  <c r="F113" i="10930"/>
  <c r="E113" i="10930"/>
  <c r="G113" i="10930" s="1"/>
  <c r="F112" i="10930"/>
  <c r="E112" i="10930"/>
  <c r="G112" i="10930" s="1"/>
  <c r="F111" i="10930"/>
  <c r="E111" i="10930"/>
  <c r="G111" i="10930" s="1"/>
  <c r="F110" i="10930"/>
  <c r="E110" i="10930"/>
  <c r="G110" i="10930" s="1"/>
  <c r="F109" i="10930"/>
  <c r="E109" i="10930"/>
  <c r="G109" i="10930" s="1"/>
  <c r="F108" i="10930"/>
  <c r="E108" i="10930"/>
  <c r="G108" i="10930" s="1"/>
  <c r="F107" i="10930"/>
  <c r="E107" i="10930"/>
  <c r="G107" i="10930" s="1"/>
  <c r="F106" i="10930"/>
  <c r="E106" i="10930"/>
  <c r="G106" i="10930" s="1"/>
  <c r="F105" i="10930"/>
  <c r="E105" i="10930"/>
  <c r="G105" i="10930" s="1"/>
  <c r="F104" i="10930"/>
  <c r="E104" i="10930"/>
  <c r="G104" i="10930" s="1"/>
  <c r="F103" i="10930"/>
  <c r="E103" i="10930"/>
  <c r="G103" i="10930" s="1"/>
  <c r="F102" i="10930"/>
  <c r="E102" i="10930"/>
  <c r="G102" i="10930" s="1"/>
  <c r="F101" i="10930"/>
  <c r="E101" i="10930"/>
  <c r="G101" i="10930" s="1"/>
  <c r="F100" i="10930"/>
  <c r="E100" i="10930"/>
  <c r="G100" i="10930" s="1"/>
  <c r="F99" i="10930"/>
  <c r="E99" i="10930"/>
  <c r="G99" i="10930" s="1"/>
  <c r="F98" i="10930"/>
  <c r="E98" i="10930"/>
  <c r="G98" i="10930" s="1"/>
  <c r="F97" i="10930"/>
  <c r="E97" i="10930"/>
  <c r="G97" i="10930" s="1"/>
  <c r="F96" i="10930"/>
  <c r="E96" i="10930"/>
  <c r="G96" i="10930" s="1"/>
  <c r="F95" i="10930"/>
  <c r="E95" i="10930"/>
  <c r="G95" i="10930" s="1"/>
  <c r="F94" i="10930"/>
  <c r="E94" i="10930"/>
  <c r="G94" i="10930" s="1"/>
  <c r="F93" i="10930"/>
  <c r="E93" i="10930"/>
  <c r="G93" i="10930" s="1"/>
  <c r="F92" i="10930"/>
  <c r="E92" i="10930"/>
  <c r="G92" i="10930" s="1"/>
  <c r="F91" i="10930"/>
  <c r="E91" i="10930"/>
  <c r="G91" i="10930" s="1"/>
  <c r="F90" i="10930"/>
  <c r="E90" i="10930"/>
  <c r="G90" i="10930" s="1"/>
  <c r="F89" i="10930"/>
  <c r="E89" i="10930"/>
  <c r="G89" i="10930" s="1"/>
  <c r="F88" i="10930"/>
  <c r="E88" i="10930"/>
  <c r="G88" i="10930" s="1"/>
  <c r="F87" i="10930"/>
  <c r="E87" i="10930"/>
  <c r="G87" i="10930" s="1"/>
  <c r="F86" i="10930"/>
  <c r="E86" i="10930"/>
  <c r="G86" i="10930" s="1"/>
  <c r="F85" i="10930"/>
  <c r="E85" i="10930"/>
  <c r="G85" i="10930" s="1"/>
  <c r="F84" i="10930"/>
  <c r="E84" i="10930"/>
  <c r="G84" i="10930" s="1"/>
  <c r="F83" i="10930"/>
  <c r="E83" i="10930"/>
  <c r="G83" i="10930" s="1"/>
  <c r="F82" i="10930"/>
  <c r="E82" i="10930"/>
  <c r="G82" i="10930" s="1"/>
  <c r="F81" i="10930"/>
  <c r="E81" i="10930"/>
  <c r="G81" i="10930" s="1"/>
  <c r="F80" i="10930"/>
  <c r="E80" i="10930"/>
  <c r="G80" i="10930" s="1"/>
  <c r="F79" i="10930"/>
  <c r="E79" i="10930"/>
  <c r="G79" i="10930" s="1"/>
  <c r="F78" i="10930"/>
  <c r="E78" i="10930"/>
  <c r="G78" i="10930" s="1"/>
  <c r="F77" i="10930"/>
  <c r="E77" i="10930"/>
  <c r="G77" i="10930" s="1"/>
  <c r="F76" i="10930"/>
  <c r="E76" i="10930"/>
  <c r="G76" i="10930" s="1"/>
  <c r="F75" i="10930"/>
  <c r="E75" i="10930"/>
  <c r="G75" i="10930" s="1"/>
  <c r="F74" i="10930"/>
  <c r="E74" i="10930"/>
  <c r="G74" i="10930" s="1"/>
  <c r="F73" i="10930"/>
  <c r="E73" i="10930"/>
  <c r="G73" i="10930" s="1"/>
  <c r="F72" i="10930"/>
  <c r="E72" i="10930"/>
  <c r="G72" i="10930" s="1"/>
  <c r="F71" i="10930"/>
  <c r="E71" i="10930"/>
  <c r="G71" i="10930" s="1"/>
  <c r="F70" i="10930"/>
  <c r="E70" i="10930"/>
  <c r="G70" i="10930" s="1"/>
  <c r="F69" i="10930"/>
  <c r="E69" i="10930"/>
  <c r="G69" i="10930" s="1"/>
  <c r="F68" i="10930"/>
  <c r="E68" i="10930"/>
  <c r="G68" i="10930" s="1"/>
  <c r="F67" i="10930"/>
  <c r="E67" i="10930"/>
  <c r="G67" i="10930" s="1"/>
  <c r="F66" i="10930"/>
  <c r="E66" i="10930"/>
  <c r="G66" i="10930" s="1"/>
  <c r="F65" i="10930"/>
  <c r="E65" i="10930"/>
  <c r="G65" i="10930" s="1"/>
  <c r="F64" i="10930"/>
  <c r="E64" i="10930"/>
  <c r="G64" i="10930" s="1"/>
  <c r="F63" i="10930"/>
  <c r="E63" i="10930"/>
  <c r="G63" i="10930" s="1"/>
  <c r="F62" i="10930"/>
  <c r="E62" i="10930"/>
  <c r="G62" i="10930" s="1"/>
  <c r="F61" i="10930"/>
  <c r="E61" i="10930"/>
  <c r="G61" i="10930" s="1"/>
  <c r="F60" i="10930"/>
  <c r="E60" i="10930"/>
  <c r="G60" i="10930" s="1"/>
  <c r="F59" i="10930"/>
  <c r="E59" i="10930"/>
  <c r="G59" i="10930" s="1"/>
  <c r="F58" i="10930"/>
  <c r="E58" i="10930"/>
  <c r="G58" i="10930" s="1"/>
  <c r="F57" i="10930"/>
  <c r="E57" i="10930"/>
  <c r="G57" i="10930" s="1"/>
  <c r="F56" i="10930"/>
  <c r="E56" i="10930"/>
  <c r="G56" i="10930" s="1"/>
  <c r="F55" i="10930"/>
  <c r="E55" i="10930"/>
  <c r="G55" i="10930" s="1"/>
  <c r="F54" i="10930"/>
  <c r="E54" i="10930"/>
  <c r="G54" i="10930" s="1"/>
  <c r="F53" i="10930"/>
  <c r="E53" i="10930"/>
  <c r="G53" i="10930" s="1"/>
  <c r="F52" i="10930"/>
  <c r="E52" i="10930"/>
  <c r="G52" i="10930" s="1"/>
  <c r="F51" i="10930"/>
  <c r="E51" i="10930"/>
  <c r="G51" i="10930" s="1"/>
  <c r="F50" i="10930"/>
  <c r="E50" i="10930"/>
  <c r="G50" i="10930" s="1"/>
  <c r="F49" i="10930"/>
  <c r="E49" i="10930"/>
  <c r="G49" i="10930" s="1"/>
  <c r="F48" i="10930"/>
  <c r="E48" i="10930"/>
  <c r="G48" i="10930" s="1"/>
  <c r="F47" i="10930"/>
  <c r="E47" i="10930"/>
  <c r="G47" i="10930" s="1"/>
  <c r="F46" i="10930"/>
  <c r="E46" i="10930"/>
  <c r="G46" i="10930" s="1"/>
  <c r="F45" i="10930"/>
  <c r="E45" i="10930"/>
  <c r="G45" i="10930" s="1"/>
  <c r="F44" i="10930"/>
  <c r="E44" i="10930"/>
  <c r="G44" i="10930" s="1"/>
  <c r="F43" i="10930"/>
  <c r="E43" i="10930"/>
  <c r="G43" i="10930" s="1"/>
  <c r="F42" i="10930"/>
  <c r="E42" i="10930"/>
  <c r="G42" i="10930" s="1"/>
  <c r="F41" i="10930"/>
  <c r="E41" i="10930"/>
  <c r="G41" i="10930" s="1"/>
  <c r="F40" i="10930"/>
  <c r="E40" i="10930"/>
  <c r="G40" i="10930" s="1"/>
  <c r="F39" i="10930"/>
  <c r="E39" i="10930"/>
  <c r="G39" i="10930" s="1"/>
  <c r="F38" i="10930"/>
  <c r="E38" i="10930"/>
  <c r="G38" i="10930" s="1"/>
  <c r="F37" i="10930"/>
  <c r="E37" i="10930"/>
  <c r="G37" i="10930" s="1"/>
  <c r="F36" i="10930"/>
  <c r="E36" i="10930"/>
  <c r="G36" i="10930" s="1"/>
  <c r="F35" i="10930"/>
  <c r="E35" i="10930"/>
  <c r="G35" i="10930" s="1"/>
  <c r="F34" i="10930"/>
  <c r="E34" i="10930"/>
  <c r="G34" i="10930" s="1"/>
  <c r="F33" i="10930"/>
  <c r="E33" i="10930"/>
  <c r="G33" i="10930" s="1"/>
  <c r="F32" i="10930"/>
  <c r="E32" i="10930"/>
  <c r="G32" i="10930" s="1"/>
  <c r="F31" i="10930"/>
  <c r="E31" i="10930"/>
  <c r="G31" i="10930" s="1"/>
  <c r="F30" i="10930"/>
  <c r="E30" i="10930"/>
  <c r="G30" i="10930" s="1"/>
  <c r="F29" i="10930"/>
  <c r="E29" i="10930"/>
  <c r="G29" i="10930" s="1"/>
  <c r="F28" i="10930"/>
  <c r="E28" i="10930"/>
  <c r="G28" i="10930" s="1"/>
  <c r="F27" i="10930"/>
  <c r="E27" i="10930"/>
  <c r="G27" i="10930" s="1"/>
  <c r="F26" i="10930"/>
  <c r="E26" i="10930"/>
  <c r="G26" i="10930" s="1"/>
  <c r="F25" i="10930"/>
  <c r="E25" i="10930"/>
  <c r="G25" i="10930" s="1"/>
  <c r="F24" i="10930"/>
  <c r="E24" i="10930"/>
  <c r="G24" i="10930" s="1"/>
  <c r="F23" i="10930"/>
  <c r="E23" i="10930"/>
  <c r="G23" i="10930" s="1"/>
  <c r="F22" i="10930"/>
  <c r="E22" i="10930"/>
  <c r="G22" i="10930" s="1"/>
  <c r="F21" i="10930"/>
  <c r="E21" i="10930"/>
  <c r="G21" i="10930" s="1"/>
  <c r="F20" i="10930"/>
  <c r="E20" i="10930"/>
  <c r="G20" i="10930" s="1"/>
  <c r="F19" i="10930"/>
  <c r="E19" i="10930"/>
  <c r="G19" i="10930" s="1"/>
  <c r="F18" i="10930"/>
  <c r="E18" i="10930"/>
  <c r="G18" i="10930" s="1"/>
  <c r="F17" i="10930"/>
  <c r="E17" i="10930"/>
  <c r="G17" i="10930" s="1"/>
  <c r="F16" i="10930"/>
  <c r="E16" i="10930"/>
  <c r="G16" i="10930" s="1"/>
  <c r="F15" i="10930"/>
  <c r="E15" i="10930"/>
  <c r="G15" i="10930" s="1"/>
  <c r="F14" i="10930"/>
  <c r="E14" i="10930"/>
  <c r="G14" i="10930" s="1"/>
  <c r="F13" i="10930"/>
  <c r="E13" i="10930"/>
  <c r="G13" i="10930" s="1"/>
  <c r="F12" i="10930"/>
  <c r="E12" i="10930"/>
  <c r="G12" i="10930" s="1"/>
  <c r="F11" i="10930"/>
  <c r="E11" i="10930"/>
  <c r="G11" i="10930" s="1"/>
  <c r="F10" i="10930"/>
  <c r="E10" i="10930"/>
  <c r="G10" i="10930" s="1"/>
  <c r="E9" i="10930"/>
  <c r="G9" i="10930" s="1"/>
  <c r="E8" i="10930"/>
  <c r="G8" i="10930" s="1"/>
  <c r="E7" i="10930"/>
  <c r="G7" i="10930" s="1"/>
  <c r="E6" i="10930"/>
  <c r="G6" i="10930" s="1"/>
  <c r="E5" i="10930"/>
  <c r="G5" i="10930" s="1"/>
  <c r="E4" i="10930"/>
  <c r="G4" i="10930" s="1"/>
  <c r="B216" i="10928"/>
  <c r="C216" i="10928" s="1"/>
  <c r="B215" i="10928"/>
  <c r="C215" i="10928" s="1"/>
  <c r="B214" i="10928"/>
  <c r="C214" i="10928" s="1"/>
  <c r="B213" i="10928"/>
  <c r="C213" i="10928" s="1"/>
  <c r="B212" i="10928"/>
  <c r="C212" i="10928" s="1"/>
  <c r="B211" i="10928"/>
  <c r="C211" i="10928" s="1"/>
  <c r="B210" i="10928"/>
  <c r="C210" i="10928" s="1"/>
  <c r="B209" i="10928"/>
  <c r="C209" i="10928" s="1"/>
  <c r="B208" i="10928"/>
  <c r="C208" i="10928" s="1"/>
  <c r="B207" i="10928"/>
  <c r="C207" i="10928" s="1"/>
  <c r="B206" i="10928"/>
  <c r="C206" i="10928" s="1"/>
  <c r="B205" i="10928"/>
  <c r="C205" i="10928" s="1"/>
  <c r="B204" i="10928"/>
  <c r="C204" i="10928" s="1"/>
  <c r="B203" i="10928"/>
  <c r="C203" i="10928" s="1"/>
  <c r="B202" i="10928"/>
  <c r="C202" i="10928" s="1"/>
  <c r="B201" i="10928"/>
  <c r="C201" i="10928" s="1"/>
  <c r="B200" i="10928"/>
  <c r="C200" i="10928" s="1"/>
  <c r="B199" i="10928"/>
  <c r="C199" i="10928" s="1"/>
  <c r="B198" i="10928"/>
  <c r="C198" i="10928" s="1"/>
  <c r="B197" i="10928"/>
  <c r="C197" i="10928" s="1"/>
  <c r="B196" i="10928"/>
  <c r="C196" i="10928" s="1"/>
  <c r="B195" i="10928"/>
  <c r="C195" i="10928" s="1"/>
  <c r="B194" i="10928"/>
  <c r="C194" i="10928" s="1"/>
  <c r="B193" i="10928"/>
  <c r="C193" i="10928" s="1"/>
  <c r="B192" i="10928"/>
  <c r="C192" i="10928" s="1"/>
  <c r="B191" i="10928"/>
  <c r="C191" i="10928" s="1"/>
  <c r="B190" i="10928"/>
  <c r="C190" i="10928" s="1"/>
  <c r="B189" i="10928"/>
  <c r="C189" i="10928" s="1"/>
  <c r="B188" i="10928"/>
  <c r="C188" i="10928" s="1"/>
  <c r="B187" i="10928"/>
  <c r="C187" i="10928" s="1"/>
  <c r="B186" i="10928"/>
  <c r="C186" i="10928" s="1"/>
  <c r="B185" i="10928"/>
  <c r="C185" i="10928" s="1"/>
  <c r="B184" i="10928"/>
  <c r="C184" i="10928" s="1"/>
  <c r="B183" i="10928"/>
  <c r="C183" i="10928" s="1"/>
  <c r="B182" i="10928"/>
  <c r="C182" i="10928" s="1"/>
  <c r="B181" i="10928"/>
  <c r="C181" i="10928" s="1"/>
  <c r="B180" i="10928"/>
  <c r="C180" i="10928" s="1"/>
  <c r="B179" i="10928"/>
  <c r="C179" i="10928" s="1"/>
  <c r="B178" i="10928"/>
  <c r="C178" i="10928" s="1"/>
  <c r="B177" i="10928"/>
  <c r="C177" i="10928" s="1"/>
  <c r="B176" i="10928"/>
  <c r="C176" i="10928" s="1"/>
  <c r="B175" i="10928"/>
  <c r="C175" i="10928" s="1"/>
  <c r="B174" i="10928"/>
  <c r="C174" i="10928" s="1"/>
  <c r="B173" i="10928"/>
  <c r="C173" i="10928" s="1"/>
  <c r="B172" i="10928"/>
  <c r="C172" i="10928" s="1"/>
  <c r="B171" i="10928"/>
  <c r="C171" i="10928" s="1"/>
  <c r="B170" i="10928"/>
  <c r="C170" i="10928" s="1"/>
  <c r="B169" i="10928"/>
  <c r="C169" i="10928" s="1"/>
  <c r="B168" i="10928"/>
  <c r="C168" i="10928" s="1"/>
  <c r="B167" i="10928"/>
  <c r="C167" i="10928" s="1"/>
  <c r="B166" i="10928"/>
  <c r="C166" i="10928" s="1"/>
  <c r="B165" i="10928"/>
  <c r="C165" i="10928" s="1"/>
  <c r="B164" i="10928"/>
  <c r="C164" i="10928" s="1"/>
  <c r="B163" i="10928"/>
  <c r="C163" i="10928" s="1"/>
  <c r="B162" i="10928"/>
  <c r="C162" i="10928" s="1"/>
  <c r="B161" i="10928"/>
  <c r="C161" i="10928" s="1"/>
  <c r="B160" i="10928"/>
  <c r="C160" i="10928" s="1"/>
  <c r="B159" i="10928"/>
  <c r="C159" i="10928" s="1"/>
  <c r="B158" i="10928"/>
  <c r="C158" i="10928" s="1"/>
  <c r="B157" i="10928"/>
  <c r="C157" i="10928" s="1"/>
  <c r="B156" i="10928"/>
  <c r="C156" i="10928" s="1"/>
  <c r="B155" i="10928"/>
  <c r="C155" i="10928" s="1"/>
  <c r="B154" i="10928"/>
  <c r="C154" i="10928" s="1"/>
  <c r="B153" i="10928"/>
  <c r="C153" i="10928" s="1"/>
  <c r="B152" i="10928"/>
  <c r="C152" i="10928" s="1"/>
  <c r="B151" i="10928"/>
  <c r="C151" i="10928" s="1"/>
  <c r="B150" i="10928"/>
  <c r="C150" i="10928" s="1"/>
  <c r="B149" i="10928"/>
  <c r="C149" i="10928" s="1"/>
  <c r="B148" i="10928"/>
  <c r="C148" i="10928" s="1"/>
  <c r="B147" i="10928"/>
  <c r="C147" i="10928" s="1"/>
  <c r="B146" i="10928"/>
  <c r="C146" i="10928" s="1"/>
  <c r="B145" i="10928"/>
  <c r="C145" i="10928" s="1"/>
  <c r="B144" i="10928"/>
  <c r="C144" i="10928" s="1"/>
  <c r="B143" i="10928"/>
  <c r="C143" i="10928" s="1"/>
  <c r="B142" i="10928"/>
  <c r="C142" i="10928" s="1"/>
  <c r="B141" i="10928"/>
  <c r="C141" i="10928" s="1"/>
  <c r="B140" i="10928"/>
  <c r="C140" i="10928" s="1"/>
  <c r="B139" i="10928"/>
  <c r="C139" i="10928" s="1"/>
  <c r="B138" i="10928"/>
  <c r="C138" i="10928" s="1"/>
  <c r="B137" i="10928"/>
  <c r="C137" i="10928" s="1"/>
  <c r="B136" i="10928"/>
  <c r="C136" i="10928" s="1"/>
  <c r="B135" i="10928"/>
  <c r="C135" i="10928" s="1"/>
  <c r="B134" i="10928"/>
  <c r="C134" i="10928" s="1"/>
  <c r="B133" i="10928"/>
  <c r="C133" i="10928" s="1"/>
  <c r="B132" i="10928"/>
  <c r="C132" i="10928" s="1"/>
  <c r="B131" i="10928"/>
  <c r="C131" i="10928" s="1"/>
  <c r="B130" i="10928"/>
  <c r="C130" i="10928" s="1"/>
  <c r="B129" i="10928"/>
  <c r="C129" i="10928" s="1"/>
  <c r="B128" i="10928"/>
  <c r="C128" i="10928" s="1"/>
  <c r="B127" i="10928"/>
  <c r="C127" i="10928" s="1"/>
  <c r="B126" i="10928"/>
  <c r="C126" i="10928" s="1"/>
  <c r="B125" i="10928"/>
  <c r="C125" i="10928" s="1"/>
  <c r="B124" i="10928"/>
  <c r="C124" i="10928" s="1"/>
  <c r="B123" i="10928"/>
  <c r="C123" i="10928" s="1"/>
  <c r="B122" i="10928"/>
  <c r="C122" i="10928" s="1"/>
  <c r="B121" i="10928"/>
  <c r="C121" i="10928" s="1"/>
  <c r="B120" i="10928"/>
  <c r="C120" i="10928" s="1"/>
  <c r="B119" i="10928"/>
  <c r="C119" i="10928" s="1"/>
  <c r="B118" i="10928"/>
  <c r="C118" i="10928" s="1"/>
  <c r="B117" i="10928"/>
  <c r="C117" i="10928" s="1"/>
  <c r="B116" i="10928"/>
  <c r="C116" i="10928" s="1"/>
  <c r="B115" i="10928"/>
  <c r="C115" i="10928" s="1"/>
  <c r="B114" i="10928"/>
  <c r="C114" i="10928" s="1"/>
  <c r="B113" i="10928"/>
  <c r="C113" i="10928" s="1"/>
  <c r="B112" i="10928"/>
  <c r="C112" i="10928" s="1"/>
  <c r="B111" i="10928"/>
  <c r="C111" i="10928" s="1"/>
  <c r="B110" i="10928"/>
  <c r="C110" i="10928" s="1"/>
  <c r="B109" i="10928"/>
  <c r="C109" i="10928" s="1"/>
  <c r="B108" i="10928"/>
  <c r="C108" i="10928" s="1"/>
  <c r="B107" i="10928"/>
  <c r="C107" i="10928" s="1"/>
  <c r="B106" i="10928"/>
  <c r="C106" i="10928" s="1"/>
  <c r="B105" i="10928"/>
  <c r="C105" i="10928" s="1"/>
  <c r="B104" i="10928"/>
  <c r="C104" i="10928" s="1"/>
  <c r="B103" i="10928"/>
  <c r="C103" i="10928" s="1"/>
  <c r="B102" i="10928"/>
  <c r="C102" i="10928" s="1"/>
  <c r="B101" i="10928"/>
  <c r="C101" i="10928" s="1"/>
  <c r="B100" i="10928"/>
  <c r="C100" i="10928" s="1"/>
  <c r="B99" i="10928"/>
  <c r="C99" i="10928" s="1"/>
  <c r="B98" i="10928"/>
  <c r="C98" i="10928" s="1"/>
  <c r="B97" i="10928"/>
  <c r="C97" i="10928" s="1"/>
  <c r="B96" i="10928"/>
  <c r="C96" i="10928" s="1"/>
  <c r="B95" i="10928"/>
  <c r="C95" i="10928" s="1"/>
  <c r="B94" i="10928"/>
  <c r="C94" i="10928" s="1"/>
  <c r="B93" i="10928"/>
  <c r="C93" i="10928" s="1"/>
  <c r="B92" i="10928"/>
  <c r="C92" i="10928" s="1"/>
  <c r="B91" i="10928"/>
  <c r="C91" i="10928" s="1"/>
  <c r="B90" i="10928"/>
  <c r="C90" i="10928" s="1"/>
  <c r="B89" i="10928"/>
  <c r="C89" i="10928" s="1"/>
  <c r="B88" i="10928"/>
  <c r="C88" i="10928" s="1"/>
  <c r="B87" i="10928"/>
  <c r="C87" i="10928" s="1"/>
  <c r="B86" i="10928"/>
  <c r="C86" i="10928" s="1"/>
  <c r="B85" i="10928"/>
  <c r="C85" i="10928" s="1"/>
  <c r="B84" i="10928"/>
  <c r="C84" i="10928" s="1"/>
  <c r="B83" i="10928"/>
  <c r="C83" i="10928" s="1"/>
  <c r="B82" i="10928"/>
  <c r="C82" i="10928" s="1"/>
  <c r="B81" i="10928"/>
  <c r="C81" i="10928" s="1"/>
  <c r="B80" i="10928"/>
  <c r="C80" i="10928" s="1"/>
  <c r="B79" i="10928"/>
  <c r="C79" i="10928" s="1"/>
  <c r="B78" i="10928"/>
  <c r="C78" i="10928" s="1"/>
  <c r="B77" i="10928"/>
  <c r="C77" i="10928" s="1"/>
  <c r="B76" i="10928"/>
  <c r="C76" i="10928" s="1"/>
  <c r="B75" i="10928"/>
  <c r="C75" i="10928" s="1"/>
  <c r="B74" i="10928"/>
  <c r="C74" i="10928" s="1"/>
  <c r="B73" i="10928"/>
  <c r="C73" i="10928" s="1"/>
  <c r="B72" i="10928"/>
  <c r="C72" i="10928" s="1"/>
  <c r="B71" i="10928"/>
  <c r="C71" i="10928" s="1"/>
  <c r="B70" i="10928"/>
  <c r="C70" i="10928" s="1"/>
  <c r="B69" i="10928"/>
  <c r="C69" i="10928" s="1"/>
  <c r="B68" i="10928"/>
  <c r="C68" i="10928" s="1"/>
  <c r="B67" i="10928"/>
  <c r="C67" i="10928" s="1"/>
  <c r="B66" i="10928"/>
  <c r="C66" i="10928" s="1"/>
  <c r="B65" i="10928"/>
  <c r="C65" i="10928" s="1"/>
  <c r="B64" i="10928"/>
  <c r="C64" i="10928" s="1"/>
  <c r="B63" i="10928"/>
  <c r="C63" i="10928" s="1"/>
  <c r="B62" i="10928"/>
  <c r="C62" i="10928" s="1"/>
  <c r="B61" i="10928"/>
  <c r="C61" i="10928" s="1"/>
  <c r="B60" i="10928"/>
  <c r="C60" i="10928" s="1"/>
  <c r="B59" i="10928"/>
  <c r="C59" i="10928" s="1"/>
  <c r="B58" i="10928"/>
  <c r="C58" i="10928" s="1"/>
  <c r="B57" i="10928"/>
  <c r="C57" i="10928" s="1"/>
  <c r="B56" i="10928"/>
  <c r="C56" i="10928" s="1"/>
  <c r="B55" i="10928"/>
  <c r="C55" i="10928" s="1"/>
  <c r="B54" i="10928"/>
  <c r="C54" i="10928" s="1"/>
  <c r="B53" i="10928"/>
  <c r="C53" i="10928" s="1"/>
  <c r="B52" i="10928"/>
  <c r="C52" i="10928" s="1"/>
  <c r="B51" i="10928"/>
  <c r="C51" i="10928" s="1"/>
  <c r="B50" i="10928"/>
  <c r="C50" i="10928" s="1"/>
  <c r="B49" i="10928"/>
  <c r="C49" i="10928" s="1"/>
  <c r="B48" i="10928"/>
  <c r="C48" i="10928" s="1"/>
  <c r="B47" i="10928"/>
  <c r="C47" i="10928" s="1"/>
  <c r="C46" i="10928"/>
  <c r="B46" i="10928"/>
  <c r="C45" i="10928"/>
  <c r="B45" i="10928"/>
  <c r="C44" i="10928"/>
  <c r="B44" i="10928"/>
  <c r="C43" i="10928"/>
  <c r="B43" i="10928"/>
  <c r="C42" i="10928"/>
  <c r="B42" i="10928"/>
  <c r="C41" i="10928"/>
  <c r="B41" i="10928"/>
  <c r="C40" i="10928"/>
  <c r="B40" i="10928"/>
  <c r="C39" i="10928"/>
  <c r="B39" i="10928"/>
  <c r="C38" i="10928"/>
  <c r="B38" i="10928"/>
  <c r="C37" i="10928"/>
  <c r="B37" i="10928"/>
  <c r="C36" i="10928"/>
  <c r="B36" i="10928"/>
  <c r="C35" i="10928"/>
  <c r="B35" i="10928"/>
  <c r="C34" i="10928"/>
  <c r="B34" i="10928"/>
  <c r="C33" i="10928"/>
  <c r="B33" i="10928"/>
  <c r="C32" i="10928"/>
  <c r="B32" i="10928"/>
  <c r="C31" i="10928"/>
  <c r="B31" i="10928"/>
  <c r="C30" i="10928"/>
  <c r="B30" i="10928"/>
  <c r="C29" i="10928"/>
  <c r="B29" i="10928"/>
  <c r="C28" i="10928"/>
  <c r="B28" i="10928"/>
  <c r="C27" i="10928"/>
  <c r="B27" i="10928"/>
  <c r="C26" i="10928"/>
  <c r="B26" i="10928"/>
  <c r="C25" i="10928"/>
  <c r="B25" i="10928"/>
  <c r="B24" i="10928"/>
  <c r="C24" i="10928" s="1"/>
  <c r="D24" i="10928" s="1"/>
  <c r="B23" i="10928"/>
  <c r="C23" i="10928" s="1"/>
  <c r="D23" i="10928" s="1"/>
  <c r="B22" i="10928"/>
  <c r="C22" i="10928" s="1"/>
  <c r="D22" i="10928" s="1"/>
  <c r="B21" i="10928"/>
  <c r="C21" i="10928" s="1"/>
  <c r="D21" i="10928" s="1"/>
  <c r="B20" i="10928"/>
  <c r="C20" i="10928" s="1"/>
  <c r="D20" i="10928" s="1"/>
  <c r="B19" i="10928"/>
  <c r="C19" i="10928" s="1"/>
  <c r="D19" i="10928" s="1"/>
  <c r="B18" i="10928"/>
  <c r="B14" i="10928"/>
  <c r="A206" i="10927"/>
  <c r="A205" i="10927"/>
  <c r="A204" i="10927"/>
  <c r="A203" i="10927"/>
  <c r="A202" i="10927"/>
  <c r="A201" i="10927"/>
  <c r="A200" i="10927"/>
  <c r="A199" i="10927"/>
  <c r="A198" i="10927"/>
  <c r="A197" i="10927"/>
  <c r="A196" i="10927"/>
  <c r="A195" i="10927"/>
  <c r="A194" i="10927"/>
  <c r="A193" i="10927"/>
  <c r="A192" i="10927"/>
  <c r="A191" i="10927"/>
  <c r="A190" i="10927"/>
  <c r="A189" i="10927"/>
  <c r="A188" i="10927"/>
  <c r="A187" i="10927"/>
  <c r="A186" i="10927"/>
  <c r="A185" i="10927"/>
  <c r="A184" i="10927"/>
  <c r="A183" i="10927"/>
  <c r="A182" i="10927"/>
  <c r="A181" i="10927"/>
  <c r="A180" i="10927"/>
  <c r="A179" i="10927"/>
  <c r="A178" i="10927"/>
  <c r="A177" i="10927"/>
  <c r="A176" i="10927"/>
  <c r="A175" i="10927"/>
  <c r="A174" i="10927"/>
  <c r="A173" i="10927"/>
  <c r="A172" i="10927"/>
  <c r="A171" i="10927"/>
  <c r="A170" i="10927"/>
  <c r="A169" i="10927"/>
  <c r="A168" i="10927"/>
  <c r="A167" i="10927"/>
  <c r="A166" i="10927"/>
  <c r="A165" i="10927"/>
  <c r="A164" i="10927"/>
  <c r="A163" i="10927"/>
  <c r="A162" i="10927"/>
  <c r="A161" i="10927"/>
  <c r="A160" i="10927"/>
  <c r="A159" i="10927"/>
  <c r="A158" i="10927"/>
  <c r="A157" i="10927"/>
  <c r="A156" i="10927"/>
  <c r="A155" i="10927"/>
  <c r="A154" i="10927"/>
  <c r="A153" i="10927"/>
  <c r="A152" i="10927"/>
  <c r="A151" i="10927"/>
  <c r="A150" i="10927"/>
  <c r="A149" i="10927"/>
  <c r="A148" i="10927"/>
  <c r="A147" i="10927"/>
  <c r="A146" i="10927"/>
  <c r="A145" i="10927"/>
  <c r="A144" i="10927"/>
  <c r="A143" i="10927"/>
  <c r="A142" i="10927"/>
  <c r="A141" i="10927"/>
  <c r="A140" i="10927"/>
  <c r="A139" i="10927"/>
  <c r="A138" i="10927"/>
  <c r="A137" i="10927"/>
  <c r="A136" i="10927"/>
  <c r="A135" i="10927"/>
  <c r="A134" i="10927"/>
  <c r="A133" i="10927"/>
  <c r="A132" i="10927"/>
  <c r="A131" i="10927"/>
  <c r="A130" i="10927"/>
  <c r="A129" i="10927"/>
  <c r="A128" i="10927"/>
  <c r="A127" i="10927"/>
  <c r="A126" i="10927"/>
  <c r="A125" i="10927"/>
  <c r="A124" i="10927"/>
  <c r="A123" i="10927"/>
  <c r="A122" i="10927"/>
  <c r="A121" i="10927"/>
  <c r="A120" i="10927"/>
  <c r="A119" i="10927"/>
  <c r="A118" i="10927"/>
  <c r="A117" i="10927"/>
  <c r="A116" i="10927"/>
  <c r="A115" i="10927"/>
  <c r="A114" i="10927"/>
  <c r="A113" i="10927"/>
  <c r="A112" i="10927"/>
  <c r="A111" i="10927"/>
  <c r="A110" i="10927"/>
  <c r="A109" i="10927"/>
  <c r="A108" i="10927"/>
  <c r="A107" i="10927"/>
  <c r="A106" i="10927"/>
  <c r="A105" i="10927"/>
  <c r="A104" i="10927"/>
  <c r="A103" i="10927"/>
  <c r="A102" i="10927"/>
  <c r="A101" i="10927"/>
  <c r="A100" i="10927"/>
  <c r="A99" i="10927"/>
  <c r="A98" i="10927"/>
  <c r="A97" i="10927"/>
  <c r="A96" i="10927"/>
  <c r="A95" i="10927"/>
  <c r="A94" i="10927"/>
  <c r="A93" i="10927"/>
  <c r="A92" i="10927"/>
  <c r="A91" i="10927"/>
  <c r="A90" i="10927"/>
  <c r="A89" i="10927"/>
  <c r="A88" i="10927"/>
  <c r="A87" i="10927"/>
  <c r="A86" i="10927"/>
  <c r="A85" i="10927"/>
  <c r="A84" i="10927"/>
  <c r="A83" i="10927"/>
  <c r="A82" i="10927"/>
  <c r="A81" i="10927"/>
  <c r="A80" i="10927"/>
  <c r="A79" i="10927"/>
  <c r="A78" i="10927"/>
  <c r="A77" i="10927"/>
  <c r="A76" i="10927"/>
  <c r="A75" i="10927"/>
  <c r="A74" i="10927"/>
  <c r="A73" i="10927"/>
  <c r="A72" i="10927"/>
  <c r="A71" i="10927"/>
  <c r="A70" i="10927"/>
  <c r="A69" i="10927"/>
  <c r="A68" i="10927"/>
  <c r="A67" i="10927"/>
  <c r="A66" i="10927"/>
  <c r="A65" i="10927"/>
  <c r="A64" i="10927"/>
  <c r="A63" i="10927"/>
  <c r="A62" i="10927"/>
  <c r="A61" i="10927"/>
  <c r="A60" i="10927"/>
  <c r="A59" i="10927"/>
  <c r="A58" i="10927"/>
  <c r="A57" i="10927"/>
  <c r="A56" i="10927"/>
  <c r="A55" i="10927"/>
  <c r="A54" i="10927"/>
  <c r="A53" i="10927"/>
  <c r="A52" i="10927"/>
  <c r="A51" i="10927"/>
  <c r="A50" i="10927"/>
  <c r="A49" i="10927"/>
  <c r="A48" i="10927"/>
  <c r="A47" i="10927"/>
  <c r="A46" i="10927"/>
  <c r="A45" i="10927"/>
  <c r="A44" i="10927"/>
  <c r="A43" i="10927"/>
  <c r="A42" i="10927"/>
  <c r="A41" i="10927"/>
  <c r="A40" i="10927"/>
  <c r="A39" i="10927"/>
  <c r="A38" i="10927"/>
  <c r="A37" i="10927"/>
  <c r="A36" i="10927"/>
  <c r="A35" i="10927"/>
  <c r="A34" i="10927"/>
  <c r="A33" i="10927"/>
  <c r="A32" i="10927"/>
  <c r="A31" i="10927"/>
  <c r="A30" i="10927"/>
  <c r="A29" i="10927"/>
  <c r="A28" i="10927"/>
  <c r="A27" i="10927"/>
  <c r="A26" i="10927"/>
  <c r="A25" i="10927"/>
  <c r="A24" i="10927"/>
  <c r="A23" i="10927"/>
  <c r="A22" i="10927"/>
  <c r="A21" i="10927"/>
  <c r="A20" i="10927"/>
  <c r="A19" i="10927"/>
  <c r="A18" i="10927"/>
  <c r="A17" i="10927"/>
  <c r="A16" i="10927"/>
  <c r="A15" i="10927"/>
  <c r="A14" i="10927"/>
  <c r="A13" i="10927"/>
  <c r="A12" i="10927"/>
  <c r="A11" i="10927"/>
  <c r="A10" i="10927"/>
  <c r="A9" i="10927"/>
  <c r="A8" i="10927"/>
  <c r="A7" i="10927"/>
  <c r="B17" i="10928" s="1"/>
  <c r="A6" i="10927"/>
  <c r="B16" i="10928" s="1"/>
  <c r="A5" i="10927"/>
  <c r="B15" i="10928" s="1"/>
  <c r="A4" i="10927"/>
  <c r="D173" i="10928"/>
  <c r="E172" i="10928"/>
  <c r="D172" i="10928"/>
  <c r="D171" i="10928"/>
  <c r="E170" i="10928"/>
  <c r="D170" i="10928"/>
  <c r="D169" i="10928"/>
  <c r="E168" i="10928"/>
  <c r="D168" i="10928"/>
  <c r="D167" i="10928"/>
  <c r="E166" i="10928"/>
  <c r="D166" i="10928"/>
  <c r="D165" i="10928"/>
  <c r="E164" i="10928"/>
  <c r="D164" i="10928"/>
  <c r="D163" i="10928"/>
  <c r="E162" i="10928"/>
  <c r="D162" i="10928"/>
  <c r="D161" i="10928"/>
  <c r="E160" i="10928"/>
  <c r="D160" i="10928"/>
  <c r="D159" i="10928"/>
  <c r="E158" i="10928"/>
  <c r="D158" i="10928"/>
  <c r="D157" i="10928"/>
  <c r="E156" i="10928"/>
  <c r="D156" i="10928"/>
  <c r="D155" i="10928"/>
  <c r="E154" i="10928"/>
  <c r="D154" i="10928"/>
  <c r="D153" i="10928"/>
  <c r="E152" i="10928"/>
  <c r="D152" i="10928"/>
  <c r="D151" i="10928"/>
  <c r="E150" i="10928"/>
  <c r="D150" i="10928"/>
  <c r="D149" i="10928"/>
  <c r="E148" i="10928"/>
  <c r="D148" i="10928"/>
  <c r="D147" i="10928"/>
  <c r="E146" i="10928"/>
  <c r="D146" i="10928"/>
  <c r="D145" i="10928"/>
  <c r="E144" i="10928"/>
  <c r="D144" i="10928"/>
  <c r="D143" i="10928"/>
  <c r="E142" i="10928"/>
  <c r="D142" i="10928"/>
  <c r="D141" i="10928"/>
  <c r="E140" i="10928"/>
  <c r="D140" i="10928"/>
  <c r="D139" i="10928"/>
  <c r="E138" i="10928"/>
  <c r="D138" i="10928"/>
  <c r="D137" i="10928"/>
  <c r="E136" i="10928"/>
  <c r="D136" i="10928"/>
  <c r="D135" i="10928"/>
  <c r="E134" i="10928"/>
  <c r="D134" i="10928"/>
  <c r="D133" i="10928"/>
  <c r="E132" i="10928"/>
  <c r="D132" i="10928"/>
  <c r="D131" i="10928"/>
  <c r="E130" i="10928"/>
  <c r="D130" i="10928"/>
  <c r="D129" i="10928"/>
  <c r="E128" i="10928"/>
  <c r="D128" i="10928"/>
  <c r="D127" i="10928"/>
  <c r="E126" i="10928"/>
  <c r="D126" i="10928"/>
  <c r="D125" i="10928"/>
  <c r="E124" i="10928"/>
  <c r="D124" i="10928"/>
  <c r="D123" i="10928"/>
  <c r="E122" i="10928"/>
  <c r="D122" i="10928"/>
  <c r="D121" i="10928"/>
  <c r="E120" i="10928"/>
  <c r="D120" i="10928"/>
  <c r="D119" i="10928"/>
  <c r="E118" i="10928"/>
  <c r="D118" i="10928"/>
  <c r="D117" i="10928"/>
  <c r="E116" i="10928"/>
  <c r="D116" i="10928"/>
  <c r="D115" i="10928"/>
  <c r="E114" i="10928"/>
  <c r="D114" i="10928"/>
  <c r="D113" i="10928"/>
  <c r="E112" i="10928"/>
  <c r="D112" i="10928"/>
  <c r="D111" i="10928"/>
  <c r="E110" i="10928"/>
  <c r="D110" i="10928"/>
  <c r="D109" i="10928"/>
  <c r="E108" i="10928"/>
  <c r="D108" i="10928"/>
  <c r="D107" i="10928"/>
  <c r="E106" i="10928"/>
  <c r="D106" i="10928"/>
  <c r="D105" i="10928"/>
  <c r="E104" i="10928"/>
  <c r="D104" i="10928"/>
  <c r="D103" i="10928"/>
  <c r="E102" i="10928"/>
  <c r="D102" i="10928"/>
  <c r="D101" i="10928"/>
  <c r="E100" i="10928"/>
  <c r="D100" i="10928"/>
  <c r="D99" i="10928"/>
  <c r="E98" i="10928"/>
  <c r="D98" i="10928"/>
  <c r="D97" i="10928"/>
  <c r="E96" i="10928"/>
  <c r="D96" i="10928"/>
  <c r="D95" i="10928"/>
  <c r="E94" i="10928"/>
  <c r="D94" i="10928"/>
  <c r="D93" i="10928"/>
  <c r="E92" i="10928"/>
  <c r="D92" i="10928"/>
  <c r="D91" i="10928"/>
  <c r="E90" i="10928"/>
  <c r="D90" i="10928"/>
  <c r="D89" i="10928"/>
  <c r="E88" i="10928"/>
  <c r="D88" i="10928"/>
  <c r="D87" i="10928"/>
  <c r="E86" i="10928"/>
  <c r="D86" i="10928"/>
  <c r="D85" i="10928"/>
  <c r="E84" i="10928"/>
  <c r="D84" i="10928"/>
  <c r="D83" i="10928"/>
  <c r="E82" i="10928"/>
  <c r="D82" i="10928"/>
  <c r="D81" i="10928"/>
  <c r="E80" i="10928"/>
  <c r="D80" i="10928"/>
  <c r="D79" i="10928"/>
  <c r="E78" i="10928"/>
  <c r="D78" i="10928"/>
  <c r="D77" i="10928"/>
  <c r="E76" i="10928"/>
  <c r="D76" i="10928"/>
  <c r="D75" i="10928"/>
  <c r="E74" i="10928"/>
  <c r="D74" i="10928"/>
  <c r="D73" i="10928"/>
  <c r="E72" i="10928"/>
  <c r="D72" i="10928"/>
  <c r="D71" i="10928"/>
  <c r="E70" i="10928"/>
  <c r="D70" i="10928"/>
  <c r="D69" i="10928"/>
  <c r="E68" i="10928"/>
  <c r="D68" i="10928"/>
  <c r="D67" i="10928"/>
  <c r="E66" i="10928"/>
  <c r="D66" i="10928"/>
  <c r="D65" i="10928"/>
  <c r="E64" i="10928"/>
  <c r="D64" i="10928"/>
  <c r="D63" i="10928"/>
  <c r="E62" i="10928"/>
  <c r="D62" i="10928"/>
  <c r="D61" i="10928"/>
  <c r="E60" i="10928"/>
  <c r="D60" i="10928"/>
  <c r="D59" i="10928"/>
  <c r="E58" i="10928"/>
  <c r="D58" i="10928"/>
  <c r="D57" i="10928"/>
  <c r="E56" i="10928"/>
  <c r="D56" i="10928"/>
  <c r="D55" i="10928"/>
  <c r="E54" i="10928"/>
  <c r="D54" i="10928"/>
  <c r="D53" i="10928"/>
  <c r="E52" i="10928"/>
  <c r="D52" i="10928"/>
  <c r="D51" i="10928"/>
  <c r="E50" i="10928"/>
  <c r="D50" i="10928"/>
  <c r="D49" i="10928"/>
  <c r="E48" i="10928"/>
  <c r="D48" i="10928"/>
  <c r="D47" i="10928"/>
  <c r="D46" i="10928"/>
  <c r="D45" i="10928"/>
  <c r="D44" i="10928"/>
  <c r="D43" i="10928"/>
  <c r="D42" i="10928"/>
  <c r="D41" i="10928"/>
  <c r="D40" i="10928"/>
  <c r="D39" i="10928"/>
  <c r="D38" i="10928"/>
  <c r="D37" i="10928"/>
  <c r="D36" i="10928"/>
  <c r="D35" i="10928"/>
  <c r="D34" i="10928"/>
  <c r="D33" i="10928"/>
  <c r="D32" i="10928"/>
  <c r="D31" i="10928"/>
  <c r="D30" i="10928"/>
  <c r="D29" i="10928"/>
  <c r="D28" i="10928"/>
  <c r="D27" i="10928"/>
  <c r="D26" i="10928"/>
  <c r="D25" i="10928"/>
  <c r="E8" i="10928"/>
  <c r="F206" i="10927"/>
  <c r="E206" i="10927"/>
  <c r="G206" i="10927" s="1"/>
  <c r="F205" i="10927"/>
  <c r="E205" i="10927"/>
  <c r="G205" i="10927" s="1"/>
  <c r="F204" i="10927"/>
  <c r="E204" i="10927"/>
  <c r="G204" i="10927" s="1"/>
  <c r="F203" i="10927"/>
  <c r="E203" i="10927"/>
  <c r="G203" i="10927" s="1"/>
  <c r="F202" i="10927"/>
  <c r="E202" i="10927"/>
  <c r="G202" i="10927" s="1"/>
  <c r="F201" i="10927"/>
  <c r="E201" i="10927"/>
  <c r="G201" i="10927" s="1"/>
  <c r="F200" i="10927"/>
  <c r="E200" i="10927"/>
  <c r="G200" i="10927" s="1"/>
  <c r="F199" i="10927"/>
  <c r="E199" i="10927"/>
  <c r="G199" i="10927" s="1"/>
  <c r="F198" i="10927"/>
  <c r="E198" i="10927"/>
  <c r="G198" i="10927" s="1"/>
  <c r="F197" i="10927"/>
  <c r="E197" i="10927"/>
  <c r="G197" i="10927" s="1"/>
  <c r="F196" i="10927"/>
  <c r="E196" i="10927"/>
  <c r="G196" i="10927" s="1"/>
  <c r="F195" i="10927"/>
  <c r="E195" i="10927"/>
  <c r="G195" i="10927" s="1"/>
  <c r="F194" i="10927"/>
  <c r="E194" i="10927"/>
  <c r="G194" i="10927" s="1"/>
  <c r="F193" i="10927"/>
  <c r="E193" i="10927"/>
  <c r="G193" i="10927" s="1"/>
  <c r="F192" i="10927"/>
  <c r="E192" i="10927"/>
  <c r="G192" i="10927" s="1"/>
  <c r="F191" i="10927"/>
  <c r="E191" i="10927"/>
  <c r="G191" i="10927" s="1"/>
  <c r="F190" i="10927"/>
  <c r="E190" i="10927"/>
  <c r="G190" i="10927" s="1"/>
  <c r="F189" i="10927"/>
  <c r="E189" i="10927"/>
  <c r="G189" i="10927" s="1"/>
  <c r="F188" i="10927"/>
  <c r="E188" i="10927"/>
  <c r="G188" i="10927" s="1"/>
  <c r="F187" i="10927"/>
  <c r="E187" i="10927"/>
  <c r="G187" i="10927" s="1"/>
  <c r="F186" i="10927"/>
  <c r="E186" i="10927"/>
  <c r="G186" i="10927" s="1"/>
  <c r="F185" i="10927"/>
  <c r="E185" i="10927"/>
  <c r="G185" i="10927" s="1"/>
  <c r="F184" i="10927"/>
  <c r="E184" i="10927"/>
  <c r="G184" i="10927" s="1"/>
  <c r="F183" i="10927"/>
  <c r="E183" i="10927"/>
  <c r="G183" i="10927" s="1"/>
  <c r="F182" i="10927"/>
  <c r="E182" i="10927"/>
  <c r="G182" i="10927" s="1"/>
  <c r="F181" i="10927"/>
  <c r="E181" i="10927"/>
  <c r="G181" i="10927" s="1"/>
  <c r="F180" i="10927"/>
  <c r="E180" i="10927"/>
  <c r="G180" i="10927" s="1"/>
  <c r="F179" i="10927"/>
  <c r="E179" i="10927"/>
  <c r="G179" i="10927" s="1"/>
  <c r="F178" i="10927"/>
  <c r="E178" i="10927"/>
  <c r="G178" i="10927" s="1"/>
  <c r="F177" i="10927"/>
  <c r="E177" i="10927"/>
  <c r="G177" i="10927" s="1"/>
  <c r="F176" i="10927"/>
  <c r="E176" i="10927"/>
  <c r="G176" i="10927" s="1"/>
  <c r="F175" i="10927"/>
  <c r="E175" i="10927"/>
  <c r="G175" i="10927" s="1"/>
  <c r="F174" i="10927"/>
  <c r="E174" i="10927"/>
  <c r="G174" i="10927" s="1"/>
  <c r="F173" i="10927"/>
  <c r="E173" i="10927"/>
  <c r="G173" i="10927" s="1"/>
  <c r="F172" i="10927"/>
  <c r="E172" i="10927"/>
  <c r="G172" i="10927" s="1"/>
  <c r="F171" i="10927"/>
  <c r="E171" i="10927"/>
  <c r="G171" i="10927" s="1"/>
  <c r="F170" i="10927"/>
  <c r="E170" i="10927"/>
  <c r="G170" i="10927" s="1"/>
  <c r="F169" i="10927"/>
  <c r="E169" i="10927"/>
  <c r="G169" i="10927" s="1"/>
  <c r="F168" i="10927"/>
  <c r="E168" i="10927"/>
  <c r="G168" i="10927" s="1"/>
  <c r="F167" i="10927"/>
  <c r="E167" i="10927"/>
  <c r="G167" i="10927" s="1"/>
  <c r="F166" i="10927"/>
  <c r="E166" i="10927"/>
  <c r="G166" i="10927" s="1"/>
  <c r="F165" i="10927"/>
  <c r="E165" i="10927"/>
  <c r="G165" i="10927" s="1"/>
  <c r="F164" i="10927"/>
  <c r="E164" i="10927"/>
  <c r="G164" i="10927" s="1"/>
  <c r="F163" i="10927"/>
  <c r="E163" i="10927"/>
  <c r="G163" i="10927" s="1"/>
  <c r="F162" i="10927"/>
  <c r="E162" i="10927"/>
  <c r="G162" i="10927" s="1"/>
  <c r="F161" i="10927"/>
  <c r="E161" i="10927"/>
  <c r="G161" i="10927" s="1"/>
  <c r="F160" i="10927"/>
  <c r="E160" i="10927"/>
  <c r="G160" i="10927" s="1"/>
  <c r="F159" i="10927"/>
  <c r="E159" i="10927"/>
  <c r="G159" i="10927" s="1"/>
  <c r="F158" i="10927"/>
  <c r="E158" i="10927"/>
  <c r="G158" i="10927" s="1"/>
  <c r="F157" i="10927"/>
  <c r="E157" i="10927"/>
  <c r="G157" i="10927" s="1"/>
  <c r="F156" i="10927"/>
  <c r="E156" i="10927"/>
  <c r="G156" i="10927" s="1"/>
  <c r="F155" i="10927"/>
  <c r="E155" i="10927"/>
  <c r="G155" i="10927" s="1"/>
  <c r="F154" i="10927"/>
  <c r="E154" i="10927"/>
  <c r="G154" i="10927" s="1"/>
  <c r="F153" i="10927"/>
  <c r="E153" i="10927"/>
  <c r="G153" i="10927" s="1"/>
  <c r="F152" i="10927"/>
  <c r="E152" i="10927"/>
  <c r="G152" i="10927" s="1"/>
  <c r="F151" i="10927"/>
  <c r="E151" i="10927"/>
  <c r="G151" i="10927" s="1"/>
  <c r="F150" i="10927"/>
  <c r="E150" i="10927"/>
  <c r="G150" i="10927" s="1"/>
  <c r="F149" i="10927"/>
  <c r="E149" i="10927"/>
  <c r="G149" i="10927" s="1"/>
  <c r="F148" i="10927"/>
  <c r="E148" i="10927"/>
  <c r="G148" i="10927" s="1"/>
  <c r="F147" i="10927"/>
  <c r="E147" i="10927"/>
  <c r="G147" i="10927" s="1"/>
  <c r="F146" i="10927"/>
  <c r="E146" i="10927"/>
  <c r="G146" i="10927" s="1"/>
  <c r="F145" i="10927"/>
  <c r="E145" i="10927"/>
  <c r="G145" i="10927" s="1"/>
  <c r="F144" i="10927"/>
  <c r="E144" i="10927"/>
  <c r="G144" i="10927" s="1"/>
  <c r="F143" i="10927"/>
  <c r="E143" i="10927"/>
  <c r="G143" i="10927" s="1"/>
  <c r="F142" i="10927"/>
  <c r="E142" i="10927"/>
  <c r="G142" i="10927" s="1"/>
  <c r="F141" i="10927"/>
  <c r="E141" i="10927"/>
  <c r="G141" i="10927" s="1"/>
  <c r="F140" i="10927"/>
  <c r="E140" i="10927"/>
  <c r="G140" i="10927" s="1"/>
  <c r="F139" i="10927"/>
  <c r="E139" i="10927"/>
  <c r="G139" i="10927" s="1"/>
  <c r="F138" i="10927"/>
  <c r="E138" i="10927"/>
  <c r="G138" i="10927" s="1"/>
  <c r="F137" i="10927"/>
  <c r="E137" i="10927"/>
  <c r="G137" i="10927" s="1"/>
  <c r="F136" i="10927"/>
  <c r="E136" i="10927"/>
  <c r="G136" i="10927" s="1"/>
  <c r="F135" i="10927"/>
  <c r="E135" i="10927"/>
  <c r="G135" i="10927" s="1"/>
  <c r="F134" i="10927"/>
  <c r="E134" i="10927"/>
  <c r="G134" i="10927" s="1"/>
  <c r="F133" i="10927"/>
  <c r="E133" i="10927"/>
  <c r="G133" i="10927" s="1"/>
  <c r="F132" i="10927"/>
  <c r="E132" i="10927"/>
  <c r="G132" i="10927" s="1"/>
  <c r="F131" i="10927"/>
  <c r="E131" i="10927"/>
  <c r="G131" i="10927" s="1"/>
  <c r="F130" i="10927"/>
  <c r="E130" i="10927"/>
  <c r="G130" i="10927" s="1"/>
  <c r="F129" i="10927"/>
  <c r="E129" i="10927"/>
  <c r="G129" i="10927" s="1"/>
  <c r="F128" i="10927"/>
  <c r="E128" i="10927"/>
  <c r="G128" i="10927" s="1"/>
  <c r="F127" i="10927"/>
  <c r="E127" i="10927"/>
  <c r="G127" i="10927" s="1"/>
  <c r="F126" i="10927"/>
  <c r="E126" i="10927"/>
  <c r="G126" i="10927" s="1"/>
  <c r="F125" i="10927"/>
  <c r="E125" i="10927"/>
  <c r="G125" i="10927" s="1"/>
  <c r="F124" i="10927"/>
  <c r="E124" i="10927"/>
  <c r="G124" i="10927" s="1"/>
  <c r="F123" i="10927"/>
  <c r="E123" i="10927"/>
  <c r="G123" i="10927" s="1"/>
  <c r="E122" i="10927"/>
  <c r="G122" i="10927" s="1"/>
  <c r="E121" i="10927"/>
  <c r="F121" i="10927" s="1"/>
  <c r="E120" i="10927"/>
  <c r="F120" i="10927" s="1"/>
  <c r="E119" i="10927"/>
  <c r="F119" i="10927" s="1"/>
  <c r="E118" i="10927"/>
  <c r="F118" i="10927" s="1"/>
  <c r="E117" i="10927"/>
  <c r="F117" i="10927" s="1"/>
  <c r="E116" i="10927"/>
  <c r="F116" i="10927" s="1"/>
  <c r="E115" i="10927"/>
  <c r="F115" i="10927" s="1"/>
  <c r="E114" i="10927"/>
  <c r="F114" i="10927" s="1"/>
  <c r="E113" i="10927"/>
  <c r="F113" i="10927" s="1"/>
  <c r="E112" i="10927"/>
  <c r="F112" i="10927" s="1"/>
  <c r="E111" i="10927"/>
  <c r="F111" i="10927" s="1"/>
  <c r="E110" i="10927"/>
  <c r="F110" i="10927" s="1"/>
  <c r="E109" i="10927"/>
  <c r="F109" i="10927" s="1"/>
  <c r="E108" i="10927"/>
  <c r="F108" i="10927" s="1"/>
  <c r="E107" i="10927"/>
  <c r="F107" i="10927" s="1"/>
  <c r="E106" i="10927"/>
  <c r="F106" i="10927" s="1"/>
  <c r="E105" i="10927"/>
  <c r="F105" i="10927" s="1"/>
  <c r="E104" i="10927"/>
  <c r="F104" i="10927" s="1"/>
  <c r="E103" i="10927"/>
  <c r="F103" i="10927" s="1"/>
  <c r="E102" i="10927"/>
  <c r="F102" i="10927" s="1"/>
  <c r="E101" i="10927"/>
  <c r="F101" i="10927" s="1"/>
  <c r="E100" i="10927"/>
  <c r="F100" i="10927" s="1"/>
  <c r="E99" i="10927"/>
  <c r="F99" i="10927" s="1"/>
  <c r="E98" i="10927"/>
  <c r="F98" i="10927" s="1"/>
  <c r="E97" i="10927"/>
  <c r="F97" i="10927" s="1"/>
  <c r="E96" i="10927"/>
  <c r="F96" i="10927" s="1"/>
  <c r="E95" i="10927"/>
  <c r="F95" i="10927" s="1"/>
  <c r="E94" i="10927"/>
  <c r="F94" i="10927" s="1"/>
  <c r="E93" i="10927"/>
  <c r="F93" i="10927" s="1"/>
  <c r="E92" i="10927"/>
  <c r="F92" i="10927" s="1"/>
  <c r="E91" i="10927"/>
  <c r="F91" i="10927" s="1"/>
  <c r="E90" i="10927"/>
  <c r="F90" i="10927" s="1"/>
  <c r="E89" i="10927"/>
  <c r="F89" i="10927" s="1"/>
  <c r="E88" i="10927"/>
  <c r="F88" i="10927" s="1"/>
  <c r="E87" i="10927"/>
  <c r="F87" i="10927" s="1"/>
  <c r="E86" i="10927"/>
  <c r="F86" i="10927" s="1"/>
  <c r="E85" i="10927"/>
  <c r="F85" i="10927" s="1"/>
  <c r="E84" i="10927"/>
  <c r="F84" i="10927" s="1"/>
  <c r="E83" i="10927"/>
  <c r="F83" i="10927" s="1"/>
  <c r="E82" i="10927"/>
  <c r="F82" i="10927" s="1"/>
  <c r="E81" i="10927"/>
  <c r="F81" i="10927" s="1"/>
  <c r="E80" i="10927"/>
  <c r="F80" i="10927" s="1"/>
  <c r="E79" i="10927"/>
  <c r="F79" i="10927" s="1"/>
  <c r="E78" i="10927"/>
  <c r="F78" i="10927" s="1"/>
  <c r="E77" i="10927"/>
  <c r="F77" i="10927" s="1"/>
  <c r="E76" i="10927"/>
  <c r="F76" i="10927" s="1"/>
  <c r="E75" i="10927"/>
  <c r="F75" i="10927" s="1"/>
  <c r="E74" i="10927"/>
  <c r="F74" i="10927" s="1"/>
  <c r="E73" i="10927"/>
  <c r="F73" i="10927" s="1"/>
  <c r="E72" i="10927"/>
  <c r="F72" i="10927" s="1"/>
  <c r="E71" i="10927"/>
  <c r="G70" i="10927"/>
  <c r="E70" i="10927"/>
  <c r="F70" i="10927" s="1"/>
  <c r="E69" i="10927"/>
  <c r="F69" i="10927" s="1"/>
  <c r="G68" i="10927"/>
  <c r="E68" i="10927"/>
  <c r="F68" i="10927" s="1"/>
  <c r="E67" i="10927"/>
  <c r="F67" i="10927" s="1"/>
  <c r="G66" i="10927"/>
  <c r="E66" i="10927"/>
  <c r="F66" i="10927" s="1"/>
  <c r="E65" i="10927"/>
  <c r="F65" i="10927" s="1"/>
  <c r="G64" i="10927"/>
  <c r="E64" i="10927"/>
  <c r="F64" i="10927" s="1"/>
  <c r="E63" i="10927"/>
  <c r="F63" i="10927" s="1"/>
  <c r="G62" i="10927"/>
  <c r="E62" i="10927"/>
  <c r="F62" i="10927" s="1"/>
  <c r="E61" i="10927"/>
  <c r="F61" i="10927" s="1"/>
  <c r="G60" i="10927"/>
  <c r="E60" i="10927"/>
  <c r="F60" i="10927" s="1"/>
  <c r="E59" i="10927"/>
  <c r="F59" i="10927" s="1"/>
  <c r="G58" i="10927"/>
  <c r="E58" i="10927"/>
  <c r="F58" i="10927" s="1"/>
  <c r="E57" i="10927"/>
  <c r="F57" i="10927" s="1"/>
  <c r="G56" i="10927"/>
  <c r="E56" i="10927"/>
  <c r="F56" i="10927" s="1"/>
  <c r="E55" i="10927"/>
  <c r="F55" i="10927" s="1"/>
  <c r="G54" i="10927"/>
  <c r="E54" i="10927"/>
  <c r="F54" i="10927" s="1"/>
  <c r="E53" i="10927"/>
  <c r="F53" i="10927" s="1"/>
  <c r="G52" i="10927"/>
  <c r="E52" i="10927"/>
  <c r="F52" i="10927" s="1"/>
  <c r="E51" i="10927"/>
  <c r="F51" i="10927" s="1"/>
  <c r="G50" i="10927"/>
  <c r="E50" i="10927"/>
  <c r="F50" i="10927" s="1"/>
  <c r="E49" i="10927"/>
  <c r="F49" i="10927" s="1"/>
  <c r="G48" i="10927"/>
  <c r="E48" i="10927"/>
  <c r="F48" i="10927" s="1"/>
  <c r="E47" i="10927"/>
  <c r="F47" i="10927" s="1"/>
  <c r="G46" i="10927"/>
  <c r="E46" i="10927"/>
  <c r="F46" i="10927" s="1"/>
  <c r="E45" i="10927"/>
  <c r="F45" i="10927" s="1"/>
  <c r="G44" i="10927"/>
  <c r="E44" i="10927"/>
  <c r="F44" i="10927" s="1"/>
  <c r="E43" i="10927"/>
  <c r="F43" i="10927" s="1"/>
  <c r="G42" i="10927"/>
  <c r="E42" i="10927"/>
  <c r="F42" i="10927" s="1"/>
  <c r="E41" i="10927"/>
  <c r="F41" i="10927" s="1"/>
  <c r="G40" i="10927"/>
  <c r="E40" i="10927"/>
  <c r="F40" i="10927" s="1"/>
  <c r="E39" i="10927"/>
  <c r="F39" i="10927" s="1"/>
  <c r="G38" i="10927"/>
  <c r="E38" i="10927"/>
  <c r="F38" i="10927" s="1"/>
  <c r="E37" i="10927"/>
  <c r="F37" i="10927" s="1"/>
  <c r="G36" i="10927"/>
  <c r="E36" i="10927"/>
  <c r="F36" i="10927" s="1"/>
  <c r="E35" i="10927"/>
  <c r="F35" i="10927" s="1"/>
  <c r="G34" i="10927"/>
  <c r="E34" i="10927"/>
  <c r="F34" i="10927" s="1"/>
  <c r="E33" i="10927"/>
  <c r="F33" i="10927" s="1"/>
  <c r="G32" i="10927"/>
  <c r="E32" i="10927"/>
  <c r="F32" i="10927" s="1"/>
  <c r="E31" i="10927"/>
  <c r="F31" i="10927" s="1"/>
  <c r="G30" i="10927"/>
  <c r="E30" i="10927"/>
  <c r="F30" i="10927" s="1"/>
  <c r="E29" i="10927"/>
  <c r="F29" i="10927" s="1"/>
  <c r="G28" i="10927"/>
  <c r="E28" i="10927"/>
  <c r="F28" i="10927" s="1"/>
  <c r="E27" i="10927"/>
  <c r="F27" i="10927" s="1"/>
  <c r="G26" i="10927"/>
  <c r="E26" i="10927"/>
  <c r="F26" i="10927" s="1"/>
  <c r="E25" i="10927"/>
  <c r="F25" i="10927" s="1"/>
  <c r="G24" i="10927"/>
  <c r="E24" i="10927"/>
  <c r="F24" i="10927" s="1"/>
  <c r="E23" i="10927"/>
  <c r="F23" i="10927" s="1"/>
  <c r="G22" i="10927"/>
  <c r="E22" i="10927"/>
  <c r="F22" i="10927" s="1"/>
  <c r="E21" i="10927"/>
  <c r="F21" i="10927" s="1"/>
  <c r="G20" i="10927"/>
  <c r="E20" i="10927"/>
  <c r="F20" i="10927" s="1"/>
  <c r="E19" i="10927"/>
  <c r="F19" i="10927" s="1"/>
  <c r="G18" i="10927"/>
  <c r="E18" i="10927"/>
  <c r="F18" i="10927" s="1"/>
  <c r="E17" i="10927"/>
  <c r="F17" i="10927" s="1"/>
  <c r="G16" i="10927"/>
  <c r="E16" i="10927"/>
  <c r="F16" i="10927" s="1"/>
  <c r="E15" i="10927"/>
  <c r="F15" i="10927" s="1"/>
  <c r="G14" i="10927"/>
  <c r="E14" i="10927"/>
  <c r="F14" i="10927" s="1"/>
  <c r="E13" i="10927"/>
  <c r="F13" i="10927" s="1"/>
  <c r="G12" i="10927"/>
  <c r="E12" i="10927"/>
  <c r="F12" i="10927" s="1"/>
  <c r="E11" i="10927"/>
  <c r="F11" i="10927" s="1"/>
  <c r="G10" i="10927"/>
  <c r="E10" i="10927"/>
  <c r="F10" i="10927" s="1"/>
  <c r="E9" i="10927"/>
  <c r="F9" i="10927" s="1"/>
  <c r="E8" i="10927"/>
  <c r="F8" i="10927" s="1"/>
  <c r="E7" i="10927"/>
  <c r="F7" i="10927" s="1"/>
  <c r="E6" i="10927"/>
  <c r="F6" i="10927" s="1"/>
  <c r="E5" i="10927"/>
  <c r="F5" i="10927" s="1"/>
  <c r="E4" i="10927"/>
  <c r="F4" i="10927" s="1"/>
  <c r="F8" i="10930" l="1"/>
  <c r="F7" i="10930"/>
  <c r="C14" i="10931"/>
  <c r="D14" i="10931" s="1"/>
  <c r="F4" i="10930"/>
  <c r="C16" i="10931"/>
  <c r="D16" i="10931" s="1"/>
  <c r="F6" i="10930"/>
  <c r="F5" i="10930"/>
  <c r="C19" i="10931"/>
  <c r="D19" i="10931" s="1"/>
  <c r="F9" i="10930"/>
  <c r="C18" i="10931"/>
  <c r="D18" i="10931" s="1"/>
  <c r="C17" i="10931"/>
  <c r="D17" i="10931" s="1"/>
  <c r="C15" i="10931"/>
  <c r="D15" i="10931" s="1"/>
  <c r="G8" i="10927"/>
  <c r="C18" i="10928" s="1"/>
  <c r="G6" i="10927"/>
  <c r="C16" i="10928" s="1"/>
  <c r="G4" i="10927"/>
  <c r="C14" i="10928"/>
  <c r="D14" i="10928" s="1"/>
  <c r="E14" i="10931"/>
  <c r="E15" i="10931"/>
  <c r="E16" i="10931"/>
  <c r="E20" i="10931"/>
  <c r="E21" i="10931"/>
  <c r="E22" i="10931"/>
  <c r="E23" i="10931"/>
  <c r="E24" i="10931"/>
  <c r="E25" i="10931"/>
  <c r="E26" i="10931"/>
  <c r="E27" i="10931"/>
  <c r="E28" i="10931"/>
  <c r="E29" i="10931"/>
  <c r="E30" i="10931"/>
  <c r="E31" i="10931"/>
  <c r="E32" i="10931"/>
  <c r="E33" i="10931"/>
  <c r="E34" i="10931"/>
  <c r="E35" i="10931"/>
  <c r="E36" i="10931"/>
  <c r="E37" i="10931"/>
  <c r="E38" i="10931"/>
  <c r="E39" i="10931"/>
  <c r="E40" i="10931"/>
  <c r="E41" i="10931"/>
  <c r="E42" i="10931"/>
  <c r="E43" i="10931"/>
  <c r="E44" i="10931"/>
  <c r="E45" i="10931"/>
  <c r="E46" i="10931"/>
  <c r="E175" i="10931"/>
  <c r="D175" i="10931"/>
  <c r="E177" i="10931"/>
  <c r="D177" i="10931"/>
  <c r="E179" i="10931"/>
  <c r="D179" i="10931"/>
  <c r="E181" i="10931"/>
  <c r="D181" i="10931"/>
  <c r="E183" i="10931"/>
  <c r="D183" i="10931"/>
  <c r="E185" i="10931"/>
  <c r="D185" i="10931"/>
  <c r="E187" i="10931"/>
  <c r="D187" i="10931"/>
  <c r="E189" i="10931"/>
  <c r="D189" i="10931"/>
  <c r="E191" i="10931"/>
  <c r="D191" i="10931"/>
  <c r="E193" i="10931"/>
  <c r="D193" i="10931"/>
  <c r="E195" i="10931"/>
  <c r="D195" i="10931"/>
  <c r="E197" i="10931"/>
  <c r="D197" i="10931"/>
  <c r="E199" i="10931"/>
  <c r="D199" i="10931"/>
  <c r="E201" i="10931"/>
  <c r="D201" i="10931"/>
  <c r="E203" i="10931"/>
  <c r="D203" i="10931"/>
  <c r="E205" i="10931"/>
  <c r="D205" i="10931"/>
  <c r="E207" i="10931"/>
  <c r="D207" i="10931"/>
  <c r="E209" i="10931"/>
  <c r="D209" i="10931"/>
  <c r="E211" i="10931"/>
  <c r="D211" i="10931"/>
  <c r="E213" i="10931"/>
  <c r="D213" i="10931"/>
  <c r="E215" i="10931"/>
  <c r="D215" i="10931"/>
  <c r="E47" i="10931"/>
  <c r="E49" i="10931"/>
  <c r="E51" i="10931"/>
  <c r="E53" i="10931"/>
  <c r="E55" i="10931"/>
  <c r="E57" i="10931"/>
  <c r="E59" i="10931"/>
  <c r="E61" i="10931"/>
  <c r="E63" i="10931"/>
  <c r="E65" i="10931"/>
  <c r="E67" i="10931"/>
  <c r="E69" i="10931"/>
  <c r="E71" i="10931"/>
  <c r="E73" i="10931"/>
  <c r="E75" i="10931"/>
  <c r="E77" i="10931"/>
  <c r="E79" i="10931"/>
  <c r="E81" i="10931"/>
  <c r="E83" i="10931"/>
  <c r="E85" i="10931"/>
  <c r="E87" i="10931"/>
  <c r="E89" i="10931"/>
  <c r="E91" i="10931"/>
  <c r="E93" i="10931"/>
  <c r="E95" i="10931"/>
  <c r="E97" i="10931"/>
  <c r="E99" i="10931"/>
  <c r="E101" i="10931"/>
  <c r="E103" i="10931"/>
  <c r="E105" i="10931"/>
  <c r="E107" i="10931"/>
  <c r="E109" i="10931"/>
  <c r="E111" i="10931"/>
  <c r="E113" i="10931"/>
  <c r="E115" i="10931"/>
  <c r="E117" i="10931"/>
  <c r="E119" i="10931"/>
  <c r="E121" i="10931"/>
  <c r="E123" i="10931"/>
  <c r="E125" i="10931"/>
  <c r="E127" i="10931"/>
  <c r="E129" i="10931"/>
  <c r="E131" i="10931"/>
  <c r="E133" i="10931"/>
  <c r="E135" i="10931"/>
  <c r="E137" i="10931"/>
  <c r="E139" i="10931"/>
  <c r="E141" i="10931"/>
  <c r="E143" i="10931"/>
  <c r="E145" i="10931"/>
  <c r="E147" i="10931"/>
  <c r="E149" i="10931"/>
  <c r="E151" i="10931"/>
  <c r="E153" i="10931"/>
  <c r="E155" i="10931"/>
  <c r="E157" i="10931"/>
  <c r="E159" i="10931"/>
  <c r="E161" i="10931"/>
  <c r="E163" i="10931"/>
  <c r="E165" i="10931"/>
  <c r="E167" i="10931"/>
  <c r="E169" i="10931"/>
  <c r="E171" i="10931"/>
  <c r="E173" i="10931"/>
  <c r="E174" i="10931"/>
  <c r="D174" i="10931"/>
  <c r="E176" i="10931"/>
  <c r="D176" i="10931"/>
  <c r="E178" i="10931"/>
  <c r="D178" i="10931"/>
  <c r="E180" i="10931"/>
  <c r="D180" i="10931"/>
  <c r="E182" i="10931"/>
  <c r="D182" i="10931"/>
  <c r="E184" i="10931"/>
  <c r="D184" i="10931"/>
  <c r="E186" i="10931"/>
  <c r="D186" i="10931"/>
  <c r="E188" i="10931"/>
  <c r="D188" i="10931"/>
  <c r="E190" i="10931"/>
  <c r="D190" i="10931"/>
  <c r="E192" i="10931"/>
  <c r="D192" i="10931"/>
  <c r="E194" i="10931"/>
  <c r="D194" i="10931"/>
  <c r="E196" i="10931"/>
  <c r="D196" i="10931"/>
  <c r="E198" i="10931"/>
  <c r="D198" i="10931"/>
  <c r="E200" i="10931"/>
  <c r="D200" i="10931"/>
  <c r="E202" i="10931"/>
  <c r="D202" i="10931"/>
  <c r="E204" i="10931"/>
  <c r="D204" i="10931"/>
  <c r="E206" i="10931"/>
  <c r="D206" i="10931"/>
  <c r="E208" i="10931"/>
  <c r="D208" i="10931"/>
  <c r="E210" i="10931"/>
  <c r="D210" i="10931"/>
  <c r="E212" i="10931"/>
  <c r="D212" i="10931"/>
  <c r="E214" i="10931"/>
  <c r="D214" i="10931"/>
  <c r="E216" i="10931"/>
  <c r="D216" i="10931"/>
  <c r="G123" i="10930"/>
  <c r="G125" i="10930"/>
  <c r="G127" i="10930"/>
  <c r="G129" i="10930"/>
  <c r="G131" i="10930"/>
  <c r="G133" i="10930"/>
  <c r="G135" i="10930"/>
  <c r="G137" i="10930"/>
  <c r="G139" i="10930"/>
  <c r="G141" i="10930"/>
  <c r="G143" i="10930"/>
  <c r="G145" i="10930"/>
  <c r="G147" i="10930"/>
  <c r="G149" i="10930"/>
  <c r="G151" i="10930"/>
  <c r="G153" i="10930"/>
  <c r="G155" i="10930"/>
  <c r="G157" i="10930"/>
  <c r="G159" i="10930"/>
  <c r="G161" i="10930"/>
  <c r="G163" i="10930"/>
  <c r="G165" i="10930"/>
  <c r="G167" i="10930"/>
  <c r="G169" i="10930"/>
  <c r="G171" i="10930"/>
  <c r="G173" i="10930"/>
  <c r="G175" i="10930"/>
  <c r="G177" i="10930"/>
  <c r="G179" i="10930"/>
  <c r="G181" i="10930"/>
  <c r="G183" i="10930"/>
  <c r="G185" i="10930"/>
  <c r="G187" i="10930"/>
  <c r="G189" i="10930"/>
  <c r="G191" i="10930"/>
  <c r="G193" i="10930"/>
  <c r="G195" i="10930"/>
  <c r="G197" i="10930"/>
  <c r="G199" i="10930"/>
  <c r="G201" i="10930"/>
  <c r="G203" i="10930"/>
  <c r="G205" i="10930"/>
  <c r="E19" i="10928"/>
  <c r="E20" i="10928"/>
  <c r="E21" i="10928"/>
  <c r="E22" i="10928"/>
  <c r="E23" i="10928"/>
  <c r="E24" i="10928"/>
  <c r="E25" i="10928"/>
  <c r="E26" i="10928"/>
  <c r="E27" i="10928"/>
  <c r="E28" i="10928"/>
  <c r="E29" i="10928"/>
  <c r="E30" i="10928"/>
  <c r="E31" i="10928"/>
  <c r="E32" i="10928"/>
  <c r="E33" i="10928"/>
  <c r="E34" i="10928"/>
  <c r="E35" i="10928"/>
  <c r="E36" i="10928"/>
  <c r="E37" i="10928"/>
  <c r="E38" i="10928"/>
  <c r="E39" i="10928"/>
  <c r="E40" i="10928"/>
  <c r="E41" i="10928"/>
  <c r="E42" i="10928"/>
  <c r="E43" i="10928"/>
  <c r="E44" i="10928"/>
  <c r="E45" i="10928"/>
  <c r="E46" i="10928"/>
  <c r="E175" i="10928"/>
  <c r="D175" i="10928"/>
  <c r="E177" i="10928"/>
  <c r="D177" i="10928"/>
  <c r="E179" i="10928"/>
  <c r="D179" i="10928"/>
  <c r="E181" i="10928"/>
  <c r="D181" i="10928"/>
  <c r="E183" i="10928"/>
  <c r="D183" i="10928"/>
  <c r="E185" i="10928"/>
  <c r="D185" i="10928"/>
  <c r="E187" i="10928"/>
  <c r="D187" i="10928"/>
  <c r="E189" i="10928"/>
  <c r="D189" i="10928"/>
  <c r="E191" i="10928"/>
  <c r="D191" i="10928"/>
  <c r="E193" i="10928"/>
  <c r="D193" i="10928"/>
  <c r="E195" i="10928"/>
  <c r="D195" i="10928"/>
  <c r="E197" i="10928"/>
  <c r="D197" i="10928"/>
  <c r="E199" i="10928"/>
  <c r="D199" i="10928"/>
  <c r="E201" i="10928"/>
  <c r="D201" i="10928"/>
  <c r="E203" i="10928"/>
  <c r="D203" i="10928"/>
  <c r="E205" i="10928"/>
  <c r="D205" i="10928"/>
  <c r="E207" i="10928"/>
  <c r="D207" i="10928"/>
  <c r="E209" i="10928"/>
  <c r="D209" i="10928"/>
  <c r="E211" i="10928"/>
  <c r="D211" i="10928"/>
  <c r="E213" i="10928"/>
  <c r="D213" i="10928"/>
  <c r="E215" i="10928"/>
  <c r="D215" i="10928"/>
  <c r="E47" i="10928"/>
  <c r="E49" i="10928"/>
  <c r="E51" i="10928"/>
  <c r="E53" i="10928"/>
  <c r="E55" i="10928"/>
  <c r="E57" i="10928"/>
  <c r="E59" i="10928"/>
  <c r="E61" i="10928"/>
  <c r="E63" i="10928"/>
  <c r="E65" i="10928"/>
  <c r="E67" i="10928"/>
  <c r="E69" i="10928"/>
  <c r="E71" i="10928"/>
  <c r="E73" i="10928"/>
  <c r="E75" i="10928"/>
  <c r="E77" i="10928"/>
  <c r="E79" i="10928"/>
  <c r="E81" i="10928"/>
  <c r="E83" i="10928"/>
  <c r="E85" i="10928"/>
  <c r="E87" i="10928"/>
  <c r="E89" i="10928"/>
  <c r="E91" i="10928"/>
  <c r="E93" i="10928"/>
  <c r="E95" i="10928"/>
  <c r="E97" i="10928"/>
  <c r="E99" i="10928"/>
  <c r="E101" i="10928"/>
  <c r="E103" i="10928"/>
  <c r="E105" i="10928"/>
  <c r="E107" i="10928"/>
  <c r="E109" i="10928"/>
  <c r="E111" i="10928"/>
  <c r="E113" i="10928"/>
  <c r="E115" i="10928"/>
  <c r="E117" i="10928"/>
  <c r="E119" i="10928"/>
  <c r="E121" i="10928"/>
  <c r="E123" i="10928"/>
  <c r="E125" i="10928"/>
  <c r="E127" i="10928"/>
  <c r="E129" i="10928"/>
  <c r="E131" i="10928"/>
  <c r="E133" i="10928"/>
  <c r="E135" i="10928"/>
  <c r="E137" i="10928"/>
  <c r="E139" i="10928"/>
  <c r="E141" i="10928"/>
  <c r="E143" i="10928"/>
  <c r="E145" i="10928"/>
  <c r="E147" i="10928"/>
  <c r="E149" i="10928"/>
  <c r="E151" i="10928"/>
  <c r="E153" i="10928"/>
  <c r="E155" i="10928"/>
  <c r="E157" i="10928"/>
  <c r="E159" i="10928"/>
  <c r="E161" i="10928"/>
  <c r="E163" i="10928"/>
  <c r="E165" i="10928"/>
  <c r="E167" i="10928"/>
  <c r="E169" i="10928"/>
  <c r="E171" i="10928"/>
  <c r="E173" i="10928"/>
  <c r="E174" i="10928"/>
  <c r="D174" i="10928"/>
  <c r="E176" i="10928"/>
  <c r="D176" i="10928"/>
  <c r="E178" i="10928"/>
  <c r="D178" i="10928"/>
  <c r="E180" i="10928"/>
  <c r="D180" i="10928"/>
  <c r="E182" i="10928"/>
  <c r="D182" i="10928"/>
  <c r="E184" i="10928"/>
  <c r="D184" i="10928"/>
  <c r="E186" i="10928"/>
  <c r="D186" i="10928"/>
  <c r="E188" i="10928"/>
  <c r="D188" i="10928"/>
  <c r="E190" i="10928"/>
  <c r="D190" i="10928"/>
  <c r="E192" i="10928"/>
  <c r="D192" i="10928"/>
  <c r="E194" i="10928"/>
  <c r="D194" i="10928"/>
  <c r="E196" i="10928"/>
  <c r="D196" i="10928"/>
  <c r="E198" i="10928"/>
  <c r="D198" i="10928"/>
  <c r="E200" i="10928"/>
  <c r="D200" i="10928"/>
  <c r="E202" i="10928"/>
  <c r="D202" i="10928"/>
  <c r="E204" i="10928"/>
  <c r="D204" i="10928"/>
  <c r="E206" i="10928"/>
  <c r="D206" i="10928"/>
  <c r="E208" i="10928"/>
  <c r="D208" i="10928"/>
  <c r="E210" i="10928"/>
  <c r="D210" i="10928"/>
  <c r="E212" i="10928"/>
  <c r="D212" i="10928"/>
  <c r="E214" i="10928"/>
  <c r="D214" i="10928"/>
  <c r="E216" i="10928"/>
  <c r="D216" i="10928"/>
  <c r="F71" i="10927"/>
  <c r="G71" i="10927"/>
  <c r="G5" i="10927"/>
  <c r="C15" i="10928" s="1"/>
  <c r="D15" i="10928" s="1"/>
  <c r="G7" i="10927"/>
  <c r="C17" i="10928" s="1"/>
  <c r="G9" i="10927"/>
  <c r="G11" i="10927"/>
  <c r="G13" i="10927"/>
  <c r="G15" i="10927"/>
  <c r="G17" i="10927"/>
  <c r="G19" i="10927"/>
  <c r="G21" i="10927"/>
  <c r="G23" i="10927"/>
  <c r="G25" i="10927"/>
  <c r="G27" i="10927"/>
  <c r="G29" i="10927"/>
  <c r="G31" i="10927"/>
  <c r="G33" i="10927"/>
  <c r="G35" i="10927"/>
  <c r="G37" i="10927"/>
  <c r="G39" i="10927"/>
  <c r="G41" i="10927"/>
  <c r="G43" i="10927"/>
  <c r="G45" i="10927"/>
  <c r="G47" i="10927"/>
  <c r="G49" i="10927"/>
  <c r="G51" i="10927"/>
  <c r="G53" i="10927"/>
  <c r="G55" i="10927"/>
  <c r="G57" i="10927"/>
  <c r="G59" i="10927"/>
  <c r="G61" i="10927"/>
  <c r="G63" i="10927"/>
  <c r="G65" i="10927"/>
  <c r="G67" i="10927"/>
  <c r="G69" i="10927"/>
  <c r="G72" i="10927"/>
  <c r="G73" i="10927"/>
  <c r="G74" i="10927"/>
  <c r="G75" i="10927"/>
  <c r="G76" i="10927"/>
  <c r="G77" i="10927"/>
  <c r="G78" i="10927"/>
  <c r="G79" i="10927"/>
  <c r="G80" i="10927"/>
  <c r="G81" i="10927"/>
  <c r="G82" i="10927"/>
  <c r="G83" i="10927"/>
  <c r="G84" i="10927"/>
  <c r="G85" i="10927"/>
  <c r="G86" i="10927"/>
  <c r="G87" i="10927"/>
  <c r="G88" i="10927"/>
  <c r="G89" i="10927"/>
  <c r="G90" i="10927"/>
  <c r="G91" i="10927"/>
  <c r="G92" i="10927"/>
  <c r="G93" i="10927"/>
  <c r="G94" i="10927"/>
  <c r="G95" i="10927"/>
  <c r="G96" i="10927"/>
  <c r="G97" i="10927"/>
  <c r="G98" i="10927"/>
  <c r="G99" i="10927"/>
  <c r="G100" i="10927"/>
  <c r="G101" i="10927"/>
  <c r="G102" i="10927"/>
  <c r="G103" i="10927"/>
  <c r="G104" i="10927"/>
  <c r="G105" i="10927"/>
  <c r="G106" i="10927"/>
  <c r="G107" i="10927"/>
  <c r="G108" i="10927"/>
  <c r="G109" i="10927"/>
  <c r="G110" i="10927"/>
  <c r="G111" i="10927"/>
  <c r="G112" i="10927"/>
  <c r="G113" i="10927"/>
  <c r="G114" i="10927"/>
  <c r="G115" i="10927"/>
  <c r="G116" i="10927"/>
  <c r="G117" i="10927"/>
  <c r="G118" i="10927"/>
  <c r="G119" i="10927"/>
  <c r="G120" i="10927"/>
  <c r="G121" i="10927"/>
  <c r="F122" i="10927"/>
  <c r="D39" i="10790"/>
  <c r="D38" i="10790"/>
  <c r="D37" i="10790"/>
  <c r="D35" i="10790"/>
  <c r="D34" i="10790"/>
  <c r="D33" i="10790"/>
  <c r="D32" i="10790"/>
  <c r="D31" i="10790"/>
  <c r="D30" i="10790"/>
  <c r="D28" i="10790"/>
  <c r="D27" i="10790"/>
  <c r="D26" i="10790"/>
  <c r="D25" i="10790"/>
  <c r="C24" i="10790"/>
  <c r="D23" i="10790"/>
  <c r="D20" i="10790" s="1"/>
  <c r="E10" i="10790" s="1"/>
  <c r="D22" i="10790"/>
  <c r="D21" i="10790"/>
  <c r="C20" i="10790"/>
  <c r="D19" i="10790"/>
  <c r="D18" i="10790"/>
  <c r="D16" i="10790"/>
  <c r="C10" i="10790"/>
  <c r="C9" i="10790"/>
  <c r="C8" i="10790"/>
  <c r="E6" i="10790"/>
  <c r="E5" i="10790"/>
  <c r="B198" i="10789"/>
  <c r="C198" i="10789" s="1"/>
  <c r="B124" i="10789"/>
  <c r="C124" i="10789" s="1"/>
  <c r="E106" i="10789"/>
  <c r="E8" i="10789"/>
  <c r="G206" i="10923"/>
  <c r="E206" i="10923"/>
  <c r="F206" i="10923" s="1"/>
  <c r="A206" i="10923"/>
  <c r="B216" i="10789" s="1"/>
  <c r="C216" i="10789" s="1"/>
  <c r="G205" i="10923"/>
  <c r="E205" i="10923"/>
  <c r="F205" i="10923" s="1"/>
  <c r="A205" i="10923"/>
  <c r="B215" i="10789" s="1"/>
  <c r="C215" i="10789" s="1"/>
  <c r="G204" i="10923"/>
  <c r="E204" i="10923"/>
  <c r="F204" i="10923" s="1"/>
  <c r="A204" i="10923"/>
  <c r="B214" i="10789" s="1"/>
  <c r="C214" i="10789" s="1"/>
  <c r="G203" i="10923"/>
  <c r="E203" i="10923"/>
  <c r="F203" i="10923" s="1"/>
  <c r="A203" i="10923"/>
  <c r="B213" i="10789" s="1"/>
  <c r="C213" i="10789" s="1"/>
  <c r="G202" i="10923"/>
  <c r="E202" i="10923"/>
  <c r="F202" i="10923" s="1"/>
  <c r="A202" i="10923"/>
  <c r="B212" i="10789" s="1"/>
  <c r="C212" i="10789" s="1"/>
  <c r="G201" i="10923"/>
  <c r="E201" i="10923"/>
  <c r="F201" i="10923" s="1"/>
  <c r="A201" i="10923"/>
  <c r="B211" i="10789" s="1"/>
  <c r="C211" i="10789" s="1"/>
  <c r="G200" i="10923"/>
  <c r="E200" i="10923"/>
  <c r="F200" i="10923" s="1"/>
  <c r="A200" i="10923"/>
  <c r="B210" i="10789" s="1"/>
  <c r="C210" i="10789" s="1"/>
  <c r="G199" i="10923"/>
  <c r="E199" i="10923"/>
  <c r="F199" i="10923" s="1"/>
  <c r="A199" i="10923"/>
  <c r="B209" i="10789" s="1"/>
  <c r="C209" i="10789" s="1"/>
  <c r="G198" i="10923"/>
  <c r="E198" i="10923"/>
  <c r="F198" i="10923" s="1"/>
  <c r="A198" i="10923"/>
  <c r="B208" i="10789" s="1"/>
  <c r="C208" i="10789" s="1"/>
  <c r="G197" i="10923"/>
  <c r="E197" i="10923"/>
  <c r="F197" i="10923" s="1"/>
  <c r="A197" i="10923"/>
  <c r="B207" i="10789" s="1"/>
  <c r="C207" i="10789" s="1"/>
  <c r="G196" i="10923"/>
  <c r="E196" i="10923"/>
  <c r="F196" i="10923" s="1"/>
  <c r="A196" i="10923"/>
  <c r="B206" i="10789" s="1"/>
  <c r="C206" i="10789" s="1"/>
  <c r="G195" i="10923"/>
  <c r="E195" i="10923"/>
  <c r="F195" i="10923" s="1"/>
  <c r="A195" i="10923"/>
  <c r="B205" i="10789" s="1"/>
  <c r="C205" i="10789" s="1"/>
  <c r="G194" i="10923"/>
  <c r="E194" i="10923"/>
  <c r="F194" i="10923" s="1"/>
  <c r="A194" i="10923"/>
  <c r="B204" i="10789" s="1"/>
  <c r="C204" i="10789" s="1"/>
  <c r="G193" i="10923"/>
  <c r="E193" i="10923"/>
  <c r="F193" i="10923" s="1"/>
  <c r="A193" i="10923"/>
  <c r="B203" i="10789" s="1"/>
  <c r="C203" i="10789" s="1"/>
  <c r="G192" i="10923"/>
  <c r="E192" i="10923"/>
  <c r="F192" i="10923" s="1"/>
  <c r="A192" i="10923"/>
  <c r="B202" i="10789" s="1"/>
  <c r="C202" i="10789" s="1"/>
  <c r="G191" i="10923"/>
  <c r="E191" i="10923"/>
  <c r="F191" i="10923" s="1"/>
  <c r="A191" i="10923"/>
  <c r="B201" i="10789" s="1"/>
  <c r="C201" i="10789" s="1"/>
  <c r="G190" i="10923"/>
  <c r="E190" i="10923"/>
  <c r="F190" i="10923" s="1"/>
  <c r="A190" i="10923"/>
  <c r="B200" i="10789" s="1"/>
  <c r="C200" i="10789" s="1"/>
  <c r="G189" i="10923"/>
  <c r="E189" i="10923"/>
  <c r="F189" i="10923" s="1"/>
  <c r="A189" i="10923"/>
  <c r="B199" i="10789" s="1"/>
  <c r="C199" i="10789" s="1"/>
  <c r="G188" i="10923"/>
  <c r="E188" i="10923"/>
  <c r="F188" i="10923" s="1"/>
  <c r="A188" i="10923"/>
  <c r="G187" i="10923"/>
  <c r="E187" i="10923"/>
  <c r="F187" i="10923" s="1"/>
  <c r="A187" i="10923"/>
  <c r="B197" i="10789" s="1"/>
  <c r="C197" i="10789" s="1"/>
  <c r="G186" i="10923"/>
  <c r="E186" i="10923"/>
  <c r="F186" i="10923" s="1"/>
  <c r="A186" i="10923"/>
  <c r="B196" i="10789" s="1"/>
  <c r="C196" i="10789" s="1"/>
  <c r="G185" i="10923"/>
  <c r="E185" i="10923"/>
  <c r="F185" i="10923" s="1"/>
  <c r="A185" i="10923"/>
  <c r="B195" i="10789" s="1"/>
  <c r="C195" i="10789" s="1"/>
  <c r="E184" i="10923"/>
  <c r="F184" i="10923" s="1"/>
  <c r="A184" i="10923"/>
  <c r="B194" i="10789" s="1"/>
  <c r="C194" i="10789" s="1"/>
  <c r="E183" i="10923"/>
  <c r="F183" i="10923" s="1"/>
  <c r="A183" i="10923"/>
  <c r="B193" i="10789" s="1"/>
  <c r="C193" i="10789" s="1"/>
  <c r="G182" i="10923"/>
  <c r="E182" i="10923"/>
  <c r="F182" i="10923" s="1"/>
  <c r="A182" i="10923"/>
  <c r="B192" i="10789" s="1"/>
  <c r="C192" i="10789" s="1"/>
  <c r="G181" i="10923"/>
  <c r="E181" i="10923"/>
  <c r="F181" i="10923" s="1"/>
  <c r="A181" i="10923"/>
  <c r="B191" i="10789" s="1"/>
  <c r="C191" i="10789" s="1"/>
  <c r="E180" i="10923"/>
  <c r="F180" i="10923" s="1"/>
  <c r="A180" i="10923"/>
  <c r="B190" i="10789" s="1"/>
  <c r="C190" i="10789" s="1"/>
  <c r="E179" i="10923"/>
  <c r="F179" i="10923" s="1"/>
  <c r="A179" i="10923"/>
  <c r="B189" i="10789" s="1"/>
  <c r="C189" i="10789" s="1"/>
  <c r="G178" i="10923"/>
  <c r="E178" i="10923"/>
  <c r="F178" i="10923" s="1"/>
  <c r="A178" i="10923"/>
  <c r="B188" i="10789" s="1"/>
  <c r="C188" i="10789" s="1"/>
  <c r="G177" i="10923"/>
  <c r="E177" i="10923"/>
  <c r="F177" i="10923" s="1"/>
  <c r="A177" i="10923"/>
  <c r="B187" i="10789" s="1"/>
  <c r="C187" i="10789" s="1"/>
  <c r="E176" i="10923"/>
  <c r="F176" i="10923" s="1"/>
  <c r="A176" i="10923"/>
  <c r="B186" i="10789" s="1"/>
  <c r="C186" i="10789" s="1"/>
  <c r="E175" i="10923"/>
  <c r="F175" i="10923" s="1"/>
  <c r="A175" i="10923"/>
  <c r="B185" i="10789" s="1"/>
  <c r="C185" i="10789" s="1"/>
  <c r="G174" i="10923"/>
  <c r="E174" i="10923"/>
  <c r="F174" i="10923" s="1"/>
  <c r="A174" i="10923"/>
  <c r="B184" i="10789" s="1"/>
  <c r="C184" i="10789" s="1"/>
  <c r="G173" i="10923"/>
  <c r="E173" i="10923"/>
  <c r="F173" i="10923" s="1"/>
  <c r="A173" i="10923"/>
  <c r="B183" i="10789" s="1"/>
  <c r="C183" i="10789" s="1"/>
  <c r="E172" i="10923"/>
  <c r="F172" i="10923" s="1"/>
  <c r="A172" i="10923"/>
  <c r="B182" i="10789" s="1"/>
  <c r="C182" i="10789" s="1"/>
  <c r="E171" i="10923"/>
  <c r="F171" i="10923" s="1"/>
  <c r="A171" i="10923"/>
  <c r="B181" i="10789" s="1"/>
  <c r="C181" i="10789" s="1"/>
  <c r="G170" i="10923"/>
  <c r="E170" i="10923"/>
  <c r="F170" i="10923" s="1"/>
  <c r="A170" i="10923"/>
  <c r="B180" i="10789" s="1"/>
  <c r="C180" i="10789" s="1"/>
  <c r="G169" i="10923"/>
  <c r="E169" i="10923"/>
  <c r="F169" i="10923" s="1"/>
  <c r="A169" i="10923"/>
  <c r="B179" i="10789" s="1"/>
  <c r="C179" i="10789" s="1"/>
  <c r="E168" i="10923"/>
  <c r="F168" i="10923" s="1"/>
  <c r="A168" i="10923"/>
  <c r="B178" i="10789" s="1"/>
  <c r="C178" i="10789" s="1"/>
  <c r="E167" i="10923"/>
  <c r="F167" i="10923" s="1"/>
  <c r="A167" i="10923"/>
  <c r="B177" i="10789" s="1"/>
  <c r="C177" i="10789" s="1"/>
  <c r="G166" i="10923"/>
  <c r="E166" i="10923"/>
  <c r="F166" i="10923" s="1"/>
  <c r="A166" i="10923"/>
  <c r="B176" i="10789" s="1"/>
  <c r="C176" i="10789" s="1"/>
  <c r="D176" i="10789" s="1"/>
  <c r="G165" i="10923"/>
  <c r="E165" i="10923"/>
  <c r="F165" i="10923" s="1"/>
  <c r="A165" i="10923"/>
  <c r="B175" i="10789" s="1"/>
  <c r="C175" i="10789" s="1"/>
  <c r="E164" i="10923"/>
  <c r="F164" i="10923" s="1"/>
  <c r="A164" i="10923"/>
  <c r="B174" i="10789" s="1"/>
  <c r="C174" i="10789" s="1"/>
  <c r="E163" i="10923"/>
  <c r="F163" i="10923" s="1"/>
  <c r="A163" i="10923"/>
  <c r="B173" i="10789" s="1"/>
  <c r="C173" i="10789" s="1"/>
  <c r="G162" i="10923"/>
  <c r="E162" i="10923"/>
  <c r="F162" i="10923" s="1"/>
  <c r="A162" i="10923"/>
  <c r="B172" i="10789" s="1"/>
  <c r="C172" i="10789" s="1"/>
  <c r="G161" i="10923"/>
  <c r="E161" i="10923"/>
  <c r="F161" i="10923" s="1"/>
  <c r="A161" i="10923"/>
  <c r="B171" i="10789" s="1"/>
  <c r="C171" i="10789" s="1"/>
  <c r="E160" i="10923"/>
  <c r="F160" i="10923" s="1"/>
  <c r="A160" i="10923"/>
  <c r="B170" i="10789" s="1"/>
  <c r="C170" i="10789" s="1"/>
  <c r="E159" i="10923"/>
  <c r="F159" i="10923" s="1"/>
  <c r="A159" i="10923"/>
  <c r="B169" i="10789" s="1"/>
  <c r="C169" i="10789" s="1"/>
  <c r="G158" i="10923"/>
  <c r="E158" i="10923"/>
  <c r="F158" i="10923" s="1"/>
  <c r="A158" i="10923"/>
  <c r="B168" i="10789" s="1"/>
  <c r="C168" i="10789" s="1"/>
  <c r="G157" i="10923"/>
  <c r="E157" i="10923"/>
  <c r="F157" i="10923" s="1"/>
  <c r="A157" i="10923"/>
  <c r="B167" i="10789" s="1"/>
  <c r="C167" i="10789" s="1"/>
  <c r="E156" i="10923"/>
  <c r="F156" i="10923" s="1"/>
  <c r="A156" i="10923"/>
  <c r="B166" i="10789" s="1"/>
  <c r="C166" i="10789" s="1"/>
  <c r="E155" i="10923"/>
  <c r="F155" i="10923" s="1"/>
  <c r="A155" i="10923"/>
  <c r="B165" i="10789" s="1"/>
  <c r="C165" i="10789" s="1"/>
  <c r="G154" i="10923"/>
  <c r="E154" i="10923"/>
  <c r="F154" i="10923" s="1"/>
  <c r="A154" i="10923"/>
  <c r="B164" i="10789" s="1"/>
  <c r="C164" i="10789" s="1"/>
  <c r="G153" i="10923"/>
  <c r="E153" i="10923"/>
  <c r="F153" i="10923" s="1"/>
  <c r="A153" i="10923"/>
  <c r="B163" i="10789" s="1"/>
  <c r="C163" i="10789" s="1"/>
  <c r="E152" i="10923"/>
  <c r="F152" i="10923" s="1"/>
  <c r="A152" i="10923"/>
  <c r="B162" i="10789" s="1"/>
  <c r="C162" i="10789" s="1"/>
  <c r="E151" i="10923"/>
  <c r="F151" i="10923" s="1"/>
  <c r="A151" i="10923"/>
  <c r="B161" i="10789" s="1"/>
  <c r="C161" i="10789" s="1"/>
  <c r="G150" i="10923"/>
  <c r="E150" i="10923"/>
  <c r="F150" i="10923" s="1"/>
  <c r="A150" i="10923"/>
  <c r="B160" i="10789" s="1"/>
  <c r="C160" i="10789" s="1"/>
  <c r="G149" i="10923"/>
  <c r="E149" i="10923"/>
  <c r="F149" i="10923" s="1"/>
  <c r="A149" i="10923"/>
  <c r="B159" i="10789" s="1"/>
  <c r="C159" i="10789" s="1"/>
  <c r="E148" i="10923"/>
  <c r="F148" i="10923" s="1"/>
  <c r="A148" i="10923"/>
  <c r="B158" i="10789" s="1"/>
  <c r="C158" i="10789" s="1"/>
  <c r="E147" i="10923"/>
  <c r="F147" i="10923" s="1"/>
  <c r="A147" i="10923"/>
  <c r="B157" i="10789" s="1"/>
  <c r="C157" i="10789" s="1"/>
  <c r="G146" i="10923"/>
  <c r="E146" i="10923"/>
  <c r="F146" i="10923" s="1"/>
  <c r="A146" i="10923"/>
  <c r="B156" i="10789" s="1"/>
  <c r="C156" i="10789" s="1"/>
  <c r="G145" i="10923"/>
  <c r="E145" i="10923"/>
  <c r="F145" i="10923" s="1"/>
  <c r="A145" i="10923"/>
  <c r="B155" i="10789" s="1"/>
  <c r="C155" i="10789" s="1"/>
  <c r="E155" i="10789" s="1"/>
  <c r="E144" i="10923"/>
  <c r="F144" i="10923" s="1"/>
  <c r="A144" i="10923"/>
  <c r="B154" i="10789" s="1"/>
  <c r="C154" i="10789" s="1"/>
  <c r="E143" i="10923"/>
  <c r="F143" i="10923" s="1"/>
  <c r="A143" i="10923"/>
  <c r="B153" i="10789" s="1"/>
  <c r="C153" i="10789" s="1"/>
  <c r="G142" i="10923"/>
  <c r="E142" i="10923"/>
  <c r="F142" i="10923" s="1"/>
  <c r="A142" i="10923"/>
  <c r="B152" i="10789" s="1"/>
  <c r="C152" i="10789" s="1"/>
  <c r="G141" i="10923"/>
  <c r="E141" i="10923"/>
  <c r="F141" i="10923" s="1"/>
  <c r="A141" i="10923"/>
  <c r="B151" i="10789" s="1"/>
  <c r="C151" i="10789" s="1"/>
  <c r="E140" i="10923"/>
  <c r="F140" i="10923" s="1"/>
  <c r="A140" i="10923"/>
  <c r="B150" i="10789" s="1"/>
  <c r="C150" i="10789" s="1"/>
  <c r="E139" i="10923"/>
  <c r="F139" i="10923" s="1"/>
  <c r="A139" i="10923"/>
  <c r="B149" i="10789" s="1"/>
  <c r="C149" i="10789" s="1"/>
  <c r="G138" i="10923"/>
  <c r="E138" i="10923"/>
  <c r="F138" i="10923" s="1"/>
  <c r="A138" i="10923"/>
  <c r="B148" i="10789" s="1"/>
  <c r="C148" i="10789" s="1"/>
  <c r="G137" i="10923"/>
  <c r="E137" i="10923"/>
  <c r="F137" i="10923" s="1"/>
  <c r="A137" i="10923"/>
  <c r="B147" i="10789" s="1"/>
  <c r="C147" i="10789" s="1"/>
  <c r="E136" i="10923"/>
  <c r="F136" i="10923" s="1"/>
  <c r="A136" i="10923"/>
  <c r="B146" i="10789" s="1"/>
  <c r="C146" i="10789" s="1"/>
  <c r="E135" i="10923"/>
  <c r="F135" i="10923" s="1"/>
  <c r="A135" i="10923"/>
  <c r="B145" i="10789" s="1"/>
  <c r="C145" i="10789" s="1"/>
  <c r="G134" i="10923"/>
  <c r="E134" i="10923"/>
  <c r="F134" i="10923" s="1"/>
  <c r="A134" i="10923"/>
  <c r="B144" i="10789" s="1"/>
  <c r="C144" i="10789" s="1"/>
  <c r="G133" i="10923"/>
  <c r="E133" i="10923"/>
  <c r="F133" i="10923" s="1"/>
  <c r="A133" i="10923"/>
  <c r="B143" i="10789" s="1"/>
  <c r="C143" i="10789" s="1"/>
  <c r="E132" i="10923"/>
  <c r="F132" i="10923" s="1"/>
  <c r="A132" i="10923"/>
  <c r="B142" i="10789" s="1"/>
  <c r="C142" i="10789" s="1"/>
  <c r="E131" i="10923"/>
  <c r="F131" i="10923" s="1"/>
  <c r="A131" i="10923"/>
  <c r="B141" i="10789" s="1"/>
  <c r="C141" i="10789" s="1"/>
  <c r="G130" i="10923"/>
  <c r="E130" i="10923"/>
  <c r="F130" i="10923" s="1"/>
  <c r="A130" i="10923"/>
  <c r="B140" i="10789" s="1"/>
  <c r="C140" i="10789" s="1"/>
  <c r="G129" i="10923"/>
  <c r="E129" i="10923"/>
  <c r="F129" i="10923" s="1"/>
  <c r="A129" i="10923"/>
  <c r="B139" i="10789" s="1"/>
  <c r="C139" i="10789" s="1"/>
  <c r="E128" i="10923"/>
  <c r="F128" i="10923" s="1"/>
  <c r="A128" i="10923"/>
  <c r="B138" i="10789" s="1"/>
  <c r="C138" i="10789" s="1"/>
  <c r="E127" i="10923"/>
  <c r="F127" i="10923" s="1"/>
  <c r="A127" i="10923"/>
  <c r="B137" i="10789" s="1"/>
  <c r="C137" i="10789" s="1"/>
  <c r="E137" i="10789" s="1"/>
  <c r="G126" i="10923"/>
  <c r="E126" i="10923"/>
  <c r="F126" i="10923" s="1"/>
  <c r="A126" i="10923"/>
  <c r="B136" i="10789" s="1"/>
  <c r="C136" i="10789" s="1"/>
  <c r="G125" i="10923"/>
  <c r="E125" i="10923"/>
  <c r="F125" i="10923" s="1"/>
  <c r="A125" i="10923"/>
  <c r="B135" i="10789" s="1"/>
  <c r="C135" i="10789" s="1"/>
  <c r="E124" i="10923"/>
  <c r="F124" i="10923" s="1"/>
  <c r="A124" i="10923"/>
  <c r="B134" i="10789" s="1"/>
  <c r="C134" i="10789" s="1"/>
  <c r="E123" i="10923"/>
  <c r="F123" i="10923" s="1"/>
  <c r="A123" i="10923"/>
  <c r="B133" i="10789" s="1"/>
  <c r="C133" i="10789" s="1"/>
  <c r="G122" i="10923"/>
  <c r="E122" i="10923"/>
  <c r="F122" i="10923" s="1"/>
  <c r="A122" i="10923"/>
  <c r="B132" i="10789" s="1"/>
  <c r="C132" i="10789" s="1"/>
  <c r="G121" i="10923"/>
  <c r="E121" i="10923"/>
  <c r="F121" i="10923" s="1"/>
  <c r="A121" i="10923"/>
  <c r="B131" i="10789" s="1"/>
  <c r="C131" i="10789" s="1"/>
  <c r="E120" i="10923"/>
  <c r="F120" i="10923" s="1"/>
  <c r="A120" i="10923"/>
  <c r="B130" i="10789" s="1"/>
  <c r="C130" i="10789" s="1"/>
  <c r="E119" i="10923"/>
  <c r="F119" i="10923" s="1"/>
  <c r="A119" i="10923"/>
  <c r="B129" i="10789" s="1"/>
  <c r="C129" i="10789" s="1"/>
  <c r="G118" i="10923"/>
  <c r="E118" i="10923"/>
  <c r="F118" i="10923" s="1"/>
  <c r="A118" i="10923"/>
  <c r="B128" i="10789" s="1"/>
  <c r="C128" i="10789" s="1"/>
  <c r="G117" i="10923"/>
  <c r="E117" i="10923"/>
  <c r="F117" i="10923" s="1"/>
  <c r="A117" i="10923"/>
  <c r="B127" i="10789" s="1"/>
  <c r="C127" i="10789" s="1"/>
  <c r="E116" i="10923"/>
  <c r="F116" i="10923" s="1"/>
  <c r="A116" i="10923"/>
  <c r="B126" i="10789" s="1"/>
  <c r="C126" i="10789" s="1"/>
  <c r="E115" i="10923"/>
  <c r="F115" i="10923" s="1"/>
  <c r="A115" i="10923"/>
  <c r="B125" i="10789" s="1"/>
  <c r="C125" i="10789" s="1"/>
  <c r="G114" i="10923"/>
  <c r="E114" i="10923"/>
  <c r="F114" i="10923" s="1"/>
  <c r="A114" i="10923"/>
  <c r="G113" i="10923"/>
  <c r="E113" i="10923"/>
  <c r="F113" i="10923" s="1"/>
  <c r="A113" i="10923"/>
  <c r="B123" i="10789" s="1"/>
  <c r="C123" i="10789" s="1"/>
  <c r="E112" i="10923"/>
  <c r="F112" i="10923" s="1"/>
  <c r="A112" i="10923"/>
  <c r="B122" i="10789" s="1"/>
  <c r="C122" i="10789" s="1"/>
  <c r="E111" i="10923"/>
  <c r="F111" i="10923" s="1"/>
  <c r="A111" i="10923"/>
  <c r="B121" i="10789" s="1"/>
  <c r="C121" i="10789" s="1"/>
  <c r="G110" i="10923"/>
  <c r="E110" i="10923"/>
  <c r="F110" i="10923" s="1"/>
  <c r="A110" i="10923"/>
  <c r="B120" i="10789" s="1"/>
  <c r="C120" i="10789" s="1"/>
  <c r="G109" i="10923"/>
  <c r="E109" i="10923"/>
  <c r="F109" i="10923" s="1"/>
  <c r="A109" i="10923"/>
  <c r="B119" i="10789" s="1"/>
  <c r="C119" i="10789" s="1"/>
  <c r="E108" i="10923"/>
  <c r="F108" i="10923" s="1"/>
  <c r="A108" i="10923"/>
  <c r="B118" i="10789" s="1"/>
  <c r="C118" i="10789" s="1"/>
  <c r="D118" i="10789" s="1"/>
  <c r="E107" i="10923"/>
  <c r="F107" i="10923" s="1"/>
  <c r="A107" i="10923"/>
  <c r="B117" i="10789" s="1"/>
  <c r="C117" i="10789" s="1"/>
  <c r="G106" i="10923"/>
  <c r="E106" i="10923"/>
  <c r="F106" i="10923" s="1"/>
  <c r="A106" i="10923"/>
  <c r="B116" i="10789" s="1"/>
  <c r="C116" i="10789" s="1"/>
  <c r="G105" i="10923"/>
  <c r="E105" i="10923"/>
  <c r="F105" i="10923" s="1"/>
  <c r="A105" i="10923"/>
  <c r="B115" i="10789" s="1"/>
  <c r="C115" i="10789" s="1"/>
  <c r="E104" i="10923"/>
  <c r="F104" i="10923" s="1"/>
  <c r="A104" i="10923"/>
  <c r="B114" i="10789" s="1"/>
  <c r="C114" i="10789" s="1"/>
  <c r="D114" i="10789" s="1"/>
  <c r="E103" i="10923"/>
  <c r="F103" i="10923" s="1"/>
  <c r="A103" i="10923"/>
  <c r="B113" i="10789" s="1"/>
  <c r="C113" i="10789" s="1"/>
  <c r="G102" i="10923"/>
  <c r="E102" i="10923"/>
  <c r="F102" i="10923" s="1"/>
  <c r="A102" i="10923"/>
  <c r="B112" i="10789" s="1"/>
  <c r="C112" i="10789" s="1"/>
  <c r="G101" i="10923"/>
  <c r="F101" i="10923"/>
  <c r="E101" i="10923"/>
  <c r="A101" i="10923"/>
  <c r="B111" i="10789" s="1"/>
  <c r="C111" i="10789" s="1"/>
  <c r="G100" i="10923"/>
  <c r="F100" i="10923"/>
  <c r="E100" i="10923"/>
  <c r="A100" i="10923"/>
  <c r="B110" i="10789" s="1"/>
  <c r="C110" i="10789" s="1"/>
  <c r="D110" i="10789" s="1"/>
  <c r="G99" i="10923"/>
  <c r="F99" i="10923"/>
  <c r="E99" i="10923"/>
  <c r="A99" i="10923"/>
  <c r="B109" i="10789" s="1"/>
  <c r="C109" i="10789" s="1"/>
  <c r="G98" i="10923"/>
  <c r="F98" i="10923"/>
  <c r="E98" i="10923"/>
  <c r="A98" i="10923"/>
  <c r="B108" i="10789" s="1"/>
  <c r="C108" i="10789" s="1"/>
  <c r="G97" i="10923"/>
  <c r="F97" i="10923"/>
  <c r="E97" i="10923"/>
  <c r="A97" i="10923"/>
  <c r="B107" i="10789" s="1"/>
  <c r="C107" i="10789" s="1"/>
  <c r="G96" i="10923"/>
  <c r="F96" i="10923"/>
  <c r="E96" i="10923"/>
  <c r="A96" i="10923"/>
  <c r="B106" i="10789" s="1"/>
  <c r="C106" i="10789" s="1"/>
  <c r="D106" i="10789" s="1"/>
  <c r="G95" i="10923"/>
  <c r="F95" i="10923"/>
  <c r="E95" i="10923"/>
  <c r="A95" i="10923"/>
  <c r="B105" i="10789" s="1"/>
  <c r="C105" i="10789" s="1"/>
  <c r="G94" i="10923"/>
  <c r="F94" i="10923"/>
  <c r="E94" i="10923"/>
  <c r="A94" i="10923"/>
  <c r="B104" i="10789" s="1"/>
  <c r="C104" i="10789" s="1"/>
  <c r="G93" i="10923"/>
  <c r="F93" i="10923"/>
  <c r="E93" i="10923"/>
  <c r="A93" i="10923"/>
  <c r="B103" i="10789" s="1"/>
  <c r="C103" i="10789" s="1"/>
  <c r="G92" i="10923"/>
  <c r="F92" i="10923"/>
  <c r="E92" i="10923"/>
  <c r="A92" i="10923"/>
  <c r="B102" i="10789" s="1"/>
  <c r="C102" i="10789" s="1"/>
  <c r="D102" i="10789" s="1"/>
  <c r="G91" i="10923"/>
  <c r="F91" i="10923"/>
  <c r="E91" i="10923"/>
  <c r="A91" i="10923"/>
  <c r="B101" i="10789" s="1"/>
  <c r="C101" i="10789" s="1"/>
  <c r="G90" i="10923"/>
  <c r="F90" i="10923"/>
  <c r="E90" i="10923"/>
  <c r="A90" i="10923"/>
  <c r="B100" i="10789" s="1"/>
  <c r="C100" i="10789" s="1"/>
  <c r="G89" i="10923"/>
  <c r="F89" i="10923"/>
  <c r="E89" i="10923"/>
  <c r="A89" i="10923"/>
  <c r="B99" i="10789" s="1"/>
  <c r="C99" i="10789" s="1"/>
  <c r="G88" i="10923"/>
  <c r="F88" i="10923"/>
  <c r="E88" i="10923"/>
  <c r="A88" i="10923"/>
  <c r="B98" i="10789" s="1"/>
  <c r="C98" i="10789" s="1"/>
  <c r="D98" i="10789" s="1"/>
  <c r="G87" i="10923"/>
  <c r="F87" i="10923"/>
  <c r="E87" i="10923"/>
  <c r="A87" i="10923"/>
  <c r="B97" i="10789" s="1"/>
  <c r="C97" i="10789" s="1"/>
  <c r="G86" i="10923"/>
  <c r="F86" i="10923"/>
  <c r="E86" i="10923"/>
  <c r="A86" i="10923"/>
  <c r="B96" i="10789" s="1"/>
  <c r="C96" i="10789" s="1"/>
  <c r="G85" i="10923"/>
  <c r="F85" i="10923"/>
  <c r="E85" i="10923"/>
  <c r="A85" i="10923"/>
  <c r="B95" i="10789" s="1"/>
  <c r="C95" i="10789" s="1"/>
  <c r="G84" i="10923"/>
  <c r="F84" i="10923"/>
  <c r="E84" i="10923"/>
  <c r="A84" i="10923"/>
  <c r="B94" i="10789" s="1"/>
  <c r="C94" i="10789" s="1"/>
  <c r="D94" i="10789" s="1"/>
  <c r="G83" i="10923"/>
  <c r="F83" i="10923"/>
  <c r="E83" i="10923"/>
  <c r="A83" i="10923"/>
  <c r="B93" i="10789" s="1"/>
  <c r="C93" i="10789" s="1"/>
  <c r="G82" i="10923"/>
  <c r="F82" i="10923"/>
  <c r="E82" i="10923"/>
  <c r="A82" i="10923"/>
  <c r="B92" i="10789" s="1"/>
  <c r="C92" i="10789" s="1"/>
  <c r="G81" i="10923"/>
  <c r="F81" i="10923"/>
  <c r="E81" i="10923"/>
  <c r="A81" i="10923"/>
  <c r="B91" i="10789" s="1"/>
  <c r="C91" i="10789" s="1"/>
  <c r="G80" i="10923"/>
  <c r="F80" i="10923"/>
  <c r="E80" i="10923"/>
  <c r="A80" i="10923"/>
  <c r="B90" i="10789" s="1"/>
  <c r="C90" i="10789" s="1"/>
  <c r="D90" i="10789" s="1"/>
  <c r="G79" i="10923"/>
  <c r="F79" i="10923"/>
  <c r="E79" i="10923"/>
  <c r="A79" i="10923"/>
  <c r="B89" i="10789" s="1"/>
  <c r="C89" i="10789" s="1"/>
  <c r="G78" i="10923"/>
  <c r="F78" i="10923"/>
  <c r="E78" i="10923"/>
  <c r="A78" i="10923"/>
  <c r="B88" i="10789" s="1"/>
  <c r="C88" i="10789" s="1"/>
  <c r="G77" i="10923"/>
  <c r="F77" i="10923"/>
  <c r="E77" i="10923"/>
  <c r="A77" i="10923"/>
  <c r="B87" i="10789" s="1"/>
  <c r="C87" i="10789" s="1"/>
  <c r="G76" i="10923"/>
  <c r="F76" i="10923"/>
  <c r="E76" i="10923"/>
  <c r="A76" i="10923"/>
  <c r="B86" i="10789" s="1"/>
  <c r="C86" i="10789" s="1"/>
  <c r="D86" i="10789" s="1"/>
  <c r="G75" i="10923"/>
  <c r="F75" i="10923"/>
  <c r="E75" i="10923"/>
  <c r="A75" i="10923"/>
  <c r="B85" i="10789" s="1"/>
  <c r="C85" i="10789" s="1"/>
  <c r="G74" i="10923"/>
  <c r="F74" i="10923"/>
  <c r="E74" i="10923"/>
  <c r="A74" i="10923"/>
  <c r="B84" i="10789" s="1"/>
  <c r="C84" i="10789" s="1"/>
  <c r="G73" i="10923"/>
  <c r="F73" i="10923"/>
  <c r="E73" i="10923"/>
  <c r="A73" i="10923"/>
  <c r="B83" i="10789" s="1"/>
  <c r="C83" i="10789" s="1"/>
  <c r="G72" i="10923"/>
  <c r="F72" i="10923"/>
  <c r="E72" i="10923"/>
  <c r="A72" i="10923"/>
  <c r="B82" i="10789" s="1"/>
  <c r="C82" i="10789" s="1"/>
  <c r="D82" i="10789" s="1"/>
  <c r="G71" i="10923"/>
  <c r="F71" i="10923"/>
  <c r="E71" i="10923"/>
  <c r="A71" i="10923"/>
  <c r="B81" i="10789" s="1"/>
  <c r="C81" i="10789" s="1"/>
  <c r="G70" i="10923"/>
  <c r="F70" i="10923"/>
  <c r="E70" i="10923"/>
  <c r="A70" i="10923"/>
  <c r="B80" i="10789" s="1"/>
  <c r="C80" i="10789" s="1"/>
  <c r="G69" i="10923"/>
  <c r="F69" i="10923"/>
  <c r="E69" i="10923"/>
  <c r="A69" i="10923"/>
  <c r="B79" i="10789" s="1"/>
  <c r="C79" i="10789" s="1"/>
  <c r="G68" i="10923"/>
  <c r="F68" i="10923"/>
  <c r="E68" i="10923"/>
  <c r="A68" i="10923"/>
  <c r="B78" i="10789" s="1"/>
  <c r="C78" i="10789" s="1"/>
  <c r="D78" i="10789" s="1"/>
  <c r="G67" i="10923"/>
  <c r="F67" i="10923"/>
  <c r="E67" i="10923"/>
  <c r="A67" i="10923"/>
  <c r="B77" i="10789" s="1"/>
  <c r="C77" i="10789" s="1"/>
  <c r="G66" i="10923"/>
  <c r="F66" i="10923"/>
  <c r="E66" i="10923"/>
  <c r="A66" i="10923"/>
  <c r="B76" i="10789" s="1"/>
  <c r="C76" i="10789" s="1"/>
  <c r="G65" i="10923"/>
  <c r="F65" i="10923"/>
  <c r="E65" i="10923"/>
  <c r="A65" i="10923"/>
  <c r="B75" i="10789" s="1"/>
  <c r="C75" i="10789" s="1"/>
  <c r="G64" i="10923"/>
  <c r="F64" i="10923"/>
  <c r="E64" i="10923"/>
  <c r="A64" i="10923"/>
  <c r="B74" i="10789" s="1"/>
  <c r="C74" i="10789" s="1"/>
  <c r="D74" i="10789" s="1"/>
  <c r="G63" i="10923"/>
  <c r="F63" i="10923"/>
  <c r="E63" i="10923"/>
  <c r="A63" i="10923"/>
  <c r="B73" i="10789" s="1"/>
  <c r="C73" i="10789" s="1"/>
  <c r="G62" i="10923"/>
  <c r="F62" i="10923"/>
  <c r="E62" i="10923"/>
  <c r="A62" i="10923"/>
  <c r="B72" i="10789" s="1"/>
  <c r="C72" i="10789" s="1"/>
  <c r="G61" i="10923"/>
  <c r="F61" i="10923"/>
  <c r="E61" i="10923"/>
  <c r="A61" i="10923"/>
  <c r="B71" i="10789" s="1"/>
  <c r="C71" i="10789" s="1"/>
  <c r="G60" i="10923"/>
  <c r="F60" i="10923"/>
  <c r="E60" i="10923"/>
  <c r="A60" i="10923"/>
  <c r="B70" i="10789" s="1"/>
  <c r="C70" i="10789" s="1"/>
  <c r="D70" i="10789" s="1"/>
  <c r="G59" i="10923"/>
  <c r="F59" i="10923"/>
  <c r="E59" i="10923"/>
  <c r="A59" i="10923"/>
  <c r="B69" i="10789" s="1"/>
  <c r="C69" i="10789" s="1"/>
  <c r="G58" i="10923"/>
  <c r="F58" i="10923"/>
  <c r="E58" i="10923"/>
  <c r="A58" i="10923"/>
  <c r="B68" i="10789" s="1"/>
  <c r="C68" i="10789" s="1"/>
  <c r="G57" i="10923"/>
  <c r="F57" i="10923"/>
  <c r="E57" i="10923"/>
  <c r="A57" i="10923"/>
  <c r="B67" i="10789" s="1"/>
  <c r="C67" i="10789" s="1"/>
  <c r="D67" i="10789" s="1"/>
  <c r="G56" i="10923"/>
  <c r="F56" i="10923"/>
  <c r="E56" i="10923"/>
  <c r="A56" i="10923"/>
  <c r="B66" i="10789" s="1"/>
  <c r="C66" i="10789" s="1"/>
  <c r="G55" i="10923"/>
  <c r="F55" i="10923"/>
  <c r="E55" i="10923"/>
  <c r="A55" i="10923"/>
  <c r="B65" i="10789" s="1"/>
  <c r="C65" i="10789" s="1"/>
  <c r="D65" i="10789" s="1"/>
  <c r="G54" i="10923"/>
  <c r="F54" i="10923"/>
  <c r="E54" i="10923"/>
  <c r="A54" i="10923"/>
  <c r="B64" i="10789" s="1"/>
  <c r="C64" i="10789" s="1"/>
  <c r="G53" i="10923"/>
  <c r="F53" i="10923"/>
  <c r="E53" i="10923"/>
  <c r="A53" i="10923"/>
  <c r="B63" i="10789" s="1"/>
  <c r="C63" i="10789" s="1"/>
  <c r="D63" i="10789" s="1"/>
  <c r="G52" i="10923"/>
  <c r="F52" i="10923"/>
  <c r="E52" i="10923"/>
  <c r="A52" i="10923"/>
  <c r="B62" i="10789" s="1"/>
  <c r="C62" i="10789" s="1"/>
  <c r="G51" i="10923"/>
  <c r="F51" i="10923"/>
  <c r="E51" i="10923"/>
  <c r="A51" i="10923"/>
  <c r="B61" i="10789" s="1"/>
  <c r="C61" i="10789" s="1"/>
  <c r="D61" i="10789" s="1"/>
  <c r="G50" i="10923"/>
  <c r="F50" i="10923"/>
  <c r="E50" i="10923"/>
  <c r="A50" i="10923"/>
  <c r="B60" i="10789" s="1"/>
  <c r="C60" i="10789" s="1"/>
  <c r="G49" i="10923"/>
  <c r="F49" i="10923"/>
  <c r="E49" i="10923"/>
  <c r="A49" i="10923"/>
  <c r="B59" i="10789" s="1"/>
  <c r="C59" i="10789" s="1"/>
  <c r="D59" i="10789" s="1"/>
  <c r="G48" i="10923"/>
  <c r="F48" i="10923"/>
  <c r="E48" i="10923"/>
  <c r="A48" i="10923"/>
  <c r="B58" i="10789" s="1"/>
  <c r="C58" i="10789" s="1"/>
  <c r="G47" i="10923"/>
  <c r="F47" i="10923"/>
  <c r="E47" i="10923"/>
  <c r="A47" i="10923"/>
  <c r="B57" i="10789" s="1"/>
  <c r="C57" i="10789" s="1"/>
  <c r="D57" i="10789" s="1"/>
  <c r="G46" i="10923"/>
  <c r="F46" i="10923"/>
  <c r="E46" i="10923"/>
  <c r="A46" i="10923"/>
  <c r="B56" i="10789" s="1"/>
  <c r="C56" i="10789" s="1"/>
  <c r="E56" i="10789" s="1"/>
  <c r="G45" i="10923"/>
  <c r="F45" i="10923"/>
  <c r="E45" i="10923"/>
  <c r="A45" i="10923"/>
  <c r="B55" i="10789" s="1"/>
  <c r="C55" i="10789" s="1"/>
  <c r="G44" i="10923"/>
  <c r="F44" i="10923"/>
  <c r="E44" i="10923"/>
  <c r="A44" i="10923"/>
  <c r="B54" i="10789" s="1"/>
  <c r="C54" i="10789" s="1"/>
  <c r="G43" i="10923"/>
  <c r="F43" i="10923"/>
  <c r="E43" i="10923"/>
  <c r="A43" i="10923"/>
  <c r="B53" i="10789" s="1"/>
  <c r="C53" i="10789" s="1"/>
  <c r="D53" i="10789" s="1"/>
  <c r="G42" i="10923"/>
  <c r="F42" i="10923"/>
  <c r="E42" i="10923"/>
  <c r="A42" i="10923"/>
  <c r="B52" i="10789" s="1"/>
  <c r="C52" i="10789" s="1"/>
  <c r="E52" i="10789" s="1"/>
  <c r="G41" i="10923"/>
  <c r="F41" i="10923"/>
  <c r="E41" i="10923"/>
  <c r="A41" i="10923"/>
  <c r="B51" i="10789" s="1"/>
  <c r="C51" i="10789" s="1"/>
  <c r="G40" i="10923"/>
  <c r="F40" i="10923"/>
  <c r="E40" i="10923"/>
  <c r="A40" i="10923"/>
  <c r="B50" i="10789" s="1"/>
  <c r="C50" i="10789" s="1"/>
  <c r="G39" i="10923"/>
  <c r="F39" i="10923"/>
  <c r="E39" i="10923"/>
  <c r="A39" i="10923"/>
  <c r="B49" i="10789" s="1"/>
  <c r="C49" i="10789" s="1"/>
  <c r="D49" i="10789" s="1"/>
  <c r="G38" i="10923"/>
  <c r="F38" i="10923"/>
  <c r="E38" i="10923"/>
  <c r="A38" i="10923"/>
  <c r="B48" i="10789" s="1"/>
  <c r="C48" i="10789" s="1"/>
  <c r="E48" i="10789" s="1"/>
  <c r="G37" i="10923"/>
  <c r="F37" i="10923"/>
  <c r="E37" i="10923"/>
  <c r="A37" i="10923"/>
  <c r="B47" i="10789" s="1"/>
  <c r="C47" i="10789" s="1"/>
  <c r="G36" i="10923"/>
  <c r="F36" i="10923"/>
  <c r="E36" i="10923"/>
  <c r="A36" i="10923"/>
  <c r="B46" i="10789" s="1"/>
  <c r="C46" i="10789" s="1"/>
  <c r="G35" i="10923"/>
  <c r="F35" i="10923"/>
  <c r="E35" i="10923"/>
  <c r="A35" i="10923"/>
  <c r="B45" i="10789" s="1"/>
  <c r="C45" i="10789" s="1"/>
  <c r="D45" i="10789" s="1"/>
  <c r="G34" i="10923"/>
  <c r="F34" i="10923"/>
  <c r="E34" i="10923"/>
  <c r="A34" i="10923"/>
  <c r="B44" i="10789" s="1"/>
  <c r="C44" i="10789" s="1"/>
  <c r="E44" i="10789" s="1"/>
  <c r="G33" i="10923"/>
  <c r="F33" i="10923"/>
  <c r="E33" i="10923"/>
  <c r="A33" i="10923"/>
  <c r="B43" i="10789" s="1"/>
  <c r="C43" i="10789" s="1"/>
  <c r="G32" i="10923"/>
  <c r="F32" i="10923"/>
  <c r="E32" i="10923"/>
  <c r="A32" i="10923"/>
  <c r="B42" i="10789" s="1"/>
  <c r="C42" i="10789" s="1"/>
  <c r="G31" i="10923"/>
  <c r="F31" i="10923"/>
  <c r="E31" i="10923"/>
  <c r="A31" i="10923"/>
  <c r="B41" i="10789" s="1"/>
  <c r="C41" i="10789" s="1"/>
  <c r="D41" i="10789" s="1"/>
  <c r="G30" i="10923"/>
  <c r="F30" i="10923"/>
  <c r="E30" i="10923"/>
  <c r="A30" i="10923"/>
  <c r="B40" i="10789" s="1"/>
  <c r="C40" i="10789" s="1"/>
  <c r="E40" i="10789" s="1"/>
  <c r="G29" i="10923"/>
  <c r="F29" i="10923"/>
  <c r="E29" i="10923"/>
  <c r="A29" i="10923"/>
  <c r="B39" i="10789" s="1"/>
  <c r="C39" i="10789" s="1"/>
  <c r="G28" i="10923"/>
  <c r="F28" i="10923"/>
  <c r="E28" i="10923"/>
  <c r="A28" i="10923"/>
  <c r="B38" i="10789" s="1"/>
  <c r="C38" i="10789" s="1"/>
  <c r="G27" i="10923"/>
  <c r="F27" i="10923"/>
  <c r="E27" i="10923"/>
  <c r="A27" i="10923"/>
  <c r="B37" i="10789" s="1"/>
  <c r="C37" i="10789" s="1"/>
  <c r="D37" i="10789" s="1"/>
  <c r="G26" i="10923"/>
  <c r="F26" i="10923"/>
  <c r="E26" i="10923"/>
  <c r="A26" i="10923"/>
  <c r="B36" i="10789" s="1"/>
  <c r="C36" i="10789" s="1"/>
  <c r="E36" i="10789" s="1"/>
  <c r="G25" i="10923"/>
  <c r="F25" i="10923"/>
  <c r="E25" i="10923"/>
  <c r="A25" i="10923"/>
  <c r="B35" i="10789" s="1"/>
  <c r="C35" i="10789" s="1"/>
  <c r="E35" i="10789" s="1"/>
  <c r="G24" i="10923"/>
  <c r="F24" i="10923"/>
  <c r="E24" i="10923"/>
  <c r="A24" i="10923"/>
  <c r="B34" i="10789" s="1"/>
  <c r="C34" i="10789" s="1"/>
  <c r="E34" i="10789" s="1"/>
  <c r="G23" i="10923"/>
  <c r="F23" i="10923"/>
  <c r="E23" i="10923"/>
  <c r="A23" i="10923"/>
  <c r="B33" i="10789" s="1"/>
  <c r="C33" i="10789" s="1"/>
  <c r="E33" i="10789" s="1"/>
  <c r="G22" i="10923"/>
  <c r="F22" i="10923"/>
  <c r="E22" i="10923"/>
  <c r="A22" i="10923"/>
  <c r="B32" i="10789" s="1"/>
  <c r="C32" i="10789" s="1"/>
  <c r="E32" i="10789" s="1"/>
  <c r="G21" i="10923"/>
  <c r="F21" i="10923"/>
  <c r="E21" i="10923"/>
  <c r="A21" i="10923"/>
  <c r="B31" i="10789" s="1"/>
  <c r="C31" i="10789" s="1"/>
  <c r="E31" i="10789" s="1"/>
  <c r="G20" i="10923"/>
  <c r="F20" i="10923"/>
  <c r="E20" i="10923"/>
  <c r="A20" i="10923"/>
  <c r="B30" i="10789" s="1"/>
  <c r="C30" i="10789" s="1"/>
  <c r="E30" i="10789" s="1"/>
  <c r="G19" i="10923"/>
  <c r="F19" i="10923"/>
  <c r="E19" i="10923"/>
  <c r="A19" i="10923"/>
  <c r="B29" i="10789" s="1"/>
  <c r="C29" i="10789" s="1"/>
  <c r="E29" i="10789" s="1"/>
  <c r="G18" i="10923"/>
  <c r="F18" i="10923"/>
  <c r="E18" i="10923"/>
  <c r="A18" i="10923"/>
  <c r="B28" i="10789" s="1"/>
  <c r="C28" i="10789" s="1"/>
  <c r="E28" i="10789" s="1"/>
  <c r="G17" i="10923"/>
  <c r="F17" i="10923"/>
  <c r="E17" i="10923"/>
  <c r="A17" i="10923"/>
  <c r="B27" i="10789" s="1"/>
  <c r="C27" i="10789" s="1"/>
  <c r="E27" i="10789" s="1"/>
  <c r="G16" i="10923"/>
  <c r="F16" i="10923"/>
  <c r="E16" i="10923"/>
  <c r="A16" i="10923"/>
  <c r="B26" i="10789" s="1"/>
  <c r="C26" i="10789" s="1"/>
  <c r="E26" i="10789" s="1"/>
  <c r="G15" i="10923"/>
  <c r="F15" i="10923"/>
  <c r="E15" i="10923"/>
  <c r="A15" i="10923"/>
  <c r="B25" i="10789" s="1"/>
  <c r="C25" i="10789" s="1"/>
  <c r="E25" i="10789" s="1"/>
  <c r="G14" i="10923"/>
  <c r="F14" i="10923"/>
  <c r="E14" i="10923"/>
  <c r="A14" i="10923"/>
  <c r="B24" i="10789" s="1"/>
  <c r="C24" i="10789" s="1"/>
  <c r="E24" i="10789" s="1"/>
  <c r="G13" i="10923"/>
  <c r="F13" i="10923"/>
  <c r="E13" i="10923"/>
  <c r="A13" i="10923"/>
  <c r="B23" i="10789" s="1"/>
  <c r="C23" i="10789" s="1"/>
  <c r="E23" i="10789" s="1"/>
  <c r="G12" i="10923"/>
  <c r="F12" i="10923"/>
  <c r="E12" i="10923"/>
  <c r="A12" i="10923"/>
  <c r="B22" i="10789" s="1"/>
  <c r="C22" i="10789" s="1"/>
  <c r="E22" i="10789" s="1"/>
  <c r="G11" i="10923"/>
  <c r="F11" i="10923"/>
  <c r="E11" i="10923"/>
  <c r="A11" i="10923"/>
  <c r="B21" i="10789" s="1"/>
  <c r="C21" i="10789" s="1"/>
  <c r="E21" i="10789" s="1"/>
  <c r="G10" i="10923"/>
  <c r="F10" i="10923"/>
  <c r="E10" i="10923"/>
  <c r="A10" i="10923"/>
  <c r="B20" i="10789" s="1"/>
  <c r="C20" i="10789" s="1"/>
  <c r="E20" i="10789" s="1"/>
  <c r="G9" i="10923"/>
  <c r="F9" i="10923"/>
  <c r="E9" i="10923"/>
  <c r="A9" i="10923"/>
  <c r="B19" i="10789" s="1"/>
  <c r="C19" i="10789" s="1"/>
  <c r="E19" i="10789" s="1"/>
  <c r="G8" i="10923"/>
  <c r="F8" i="10923"/>
  <c r="E8" i="10923"/>
  <c r="A8" i="10923"/>
  <c r="B18" i="10789" s="1"/>
  <c r="C18" i="10789" s="1"/>
  <c r="E18" i="10789" s="1"/>
  <c r="G7" i="10923"/>
  <c r="F7" i="10923"/>
  <c r="E7" i="10923"/>
  <c r="A7" i="10923"/>
  <c r="B17" i="10789" s="1"/>
  <c r="C17" i="10789" s="1"/>
  <c r="E17" i="10789" s="1"/>
  <c r="G6" i="10923"/>
  <c r="F6" i="10923"/>
  <c r="E6" i="10923"/>
  <c r="A6" i="10923"/>
  <c r="B16" i="10789" s="1"/>
  <c r="C16" i="10789" s="1"/>
  <c r="E16" i="10789" s="1"/>
  <c r="G5" i="10923"/>
  <c r="F5" i="10923"/>
  <c r="E5" i="10923"/>
  <c r="A5" i="10923"/>
  <c r="B15" i="10789" s="1"/>
  <c r="C15" i="10789" s="1"/>
  <c r="E15" i="10789" s="1"/>
  <c r="G4" i="10923"/>
  <c r="F4" i="10923"/>
  <c r="E4" i="10923"/>
  <c r="A4" i="10923"/>
  <c r="B14" i="10789" s="1"/>
  <c r="C14" i="10789" s="1"/>
  <c r="E14" i="10789" s="1"/>
  <c r="D29" i="10790" l="1"/>
  <c r="E9" i="10790"/>
  <c r="C7" i="10931"/>
  <c r="E17" i="10931"/>
  <c r="E19" i="10931"/>
  <c r="E18" i="10931"/>
  <c r="D18" i="10928"/>
  <c r="E18" i="10928"/>
  <c r="D17" i="10928"/>
  <c r="E17" i="10928"/>
  <c r="D16" i="10928"/>
  <c r="E16" i="10928"/>
  <c r="E15" i="10928"/>
  <c r="C7" i="10928"/>
  <c r="E11" i="10928" s="1"/>
  <c r="E14" i="10928"/>
  <c r="E6" i="10931"/>
  <c r="E10" i="10931"/>
  <c r="E11" i="10931"/>
  <c r="E3" i="10931"/>
  <c r="E4" i="10931" s="1"/>
  <c r="E6" i="10928"/>
  <c r="E10" i="10928"/>
  <c r="E55" i="10789"/>
  <c r="D55" i="10789"/>
  <c r="E39" i="10789"/>
  <c r="D39" i="10789"/>
  <c r="E47" i="10789"/>
  <c r="D47" i="10789"/>
  <c r="E43" i="10789"/>
  <c r="D43" i="10789"/>
  <c r="E51" i="10789"/>
  <c r="D51" i="10789"/>
  <c r="E125" i="10789"/>
  <c r="D125" i="10789"/>
  <c r="E129" i="10789"/>
  <c r="D129" i="10789"/>
  <c r="E133" i="10789"/>
  <c r="D133" i="10789"/>
  <c r="E141" i="10789"/>
  <c r="D141" i="10789"/>
  <c r="E145" i="10789"/>
  <c r="D145" i="10789"/>
  <c r="E149" i="10789"/>
  <c r="D149" i="10789"/>
  <c r="E153" i="10789"/>
  <c r="D153" i="10789"/>
  <c r="E157" i="10789"/>
  <c r="D157" i="10789"/>
  <c r="E161" i="10789"/>
  <c r="D161" i="10789"/>
  <c r="E165" i="10789"/>
  <c r="D165" i="10789"/>
  <c r="E169" i="10789"/>
  <c r="D169" i="10789"/>
  <c r="E173" i="10789"/>
  <c r="D173" i="10789"/>
  <c r="E177" i="10789"/>
  <c r="D177" i="10789"/>
  <c r="E181" i="10789"/>
  <c r="D181" i="10789"/>
  <c r="E185" i="10789"/>
  <c r="D185" i="10789"/>
  <c r="E189" i="10789"/>
  <c r="D189" i="10789"/>
  <c r="E193" i="10789"/>
  <c r="D193" i="10789"/>
  <c r="E197" i="10789"/>
  <c r="D197" i="10789"/>
  <c r="E201" i="10789"/>
  <c r="D201" i="10789"/>
  <c r="E205" i="10789"/>
  <c r="D205" i="10789"/>
  <c r="E209" i="10789"/>
  <c r="D209" i="10789"/>
  <c r="E213" i="10789"/>
  <c r="D213" i="10789"/>
  <c r="C7" i="10789"/>
  <c r="D15" i="10789"/>
  <c r="D19" i="10789"/>
  <c r="D23" i="10789"/>
  <c r="D27" i="10789"/>
  <c r="D31" i="10789"/>
  <c r="D35" i="10789"/>
  <c r="D40" i="10789"/>
  <c r="E45" i="10789"/>
  <c r="D56" i="10789"/>
  <c r="E63" i="10789"/>
  <c r="E74" i="10789"/>
  <c r="E90" i="10789"/>
  <c r="E124" i="10789"/>
  <c r="D124" i="10789"/>
  <c r="E198" i="10789"/>
  <c r="D198" i="10789"/>
  <c r="D117" i="10789"/>
  <c r="E117" i="10789"/>
  <c r="E38" i="10789"/>
  <c r="D38" i="10789"/>
  <c r="D60" i="10789"/>
  <c r="E60" i="10789"/>
  <c r="D69" i="10789"/>
  <c r="E69" i="10789"/>
  <c r="D71" i="10789"/>
  <c r="E71" i="10789"/>
  <c r="D73" i="10789"/>
  <c r="E73" i="10789"/>
  <c r="D75" i="10789"/>
  <c r="E75" i="10789"/>
  <c r="D76" i="10789"/>
  <c r="E76" i="10789"/>
  <c r="D77" i="10789"/>
  <c r="E77" i="10789"/>
  <c r="D79" i="10789"/>
  <c r="E79" i="10789"/>
  <c r="D80" i="10789"/>
  <c r="E80" i="10789"/>
  <c r="D81" i="10789"/>
  <c r="E81" i="10789"/>
  <c r="D83" i="10789"/>
  <c r="E83" i="10789"/>
  <c r="D84" i="10789"/>
  <c r="E84" i="10789"/>
  <c r="D85" i="10789"/>
  <c r="E85" i="10789"/>
  <c r="D87" i="10789"/>
  <c r="E87" i="10789"/>
  <c r="D88" i="10789"/>
  <c r="E88" i="10789"/>
  <c r="D89" i="10789"/>
  <c r="E89" i="10789"/>
  <c r="D91" i="10789"/>
  <c r="E91" i="10789"/>
  <c r="D92" i="10789"/>
  <c r="E92" i="10789"/>
  <c r="D93" i="10789"/>
  <c r="E93" i="10789"/>
  <c r="D95" i="10789"/>
  <c r="E95" i="10789"/>
  <c r="D96" i="10789"/>
  <c r="E96" i="10789"/>
  <c r="D97" i="10789"/>
  <c r="E97" i="10789"/>
  <c r="D99" i="10789"/>
  <c r="E99" i="10789"/>
  <c r="D100" i="10789"/>
  <c r="E100" i="10789"/>
  <c r="D101" i="10789"/>
  <c r="E101" i="10789"/>
  <c r="D103" i="10789"/>
  <c r="E103" i="10789"/>
  <c r="D104" i="10789"/>
  <c r="E104" i="10789"/>
  <c r="D105" i="10789"/>
  <c r="E105" i="10789"/>
  <c r="D107" i="10789"/>
  <c r="E107" i="10789"/>
  <c r="D108" i="10789"/>
  <c r="E108" i="10789"/>
  <c r="D109" i="10789"/>
  <c r="E109" i="10789"/>
  <c r="D111" i="10789"/>
  <c r="E111" i="10789"/>
  <c r="D112" i="10789"/>
  <c r="E112" i="10789"/>
  <c r="G104" i="10923"/>
  <c r="D116" i="10789"/>
  <c r="E116" i="10789"/>
  <c r="G108" i="10923"/>
  <c r="E120" i="10789"/>
  <c r="D120" i="10789"/>
  <c r="G112" i="10923"/>
  <c r="G116" i="10923"/>
  <c r="E128" i="10789"/>
  <c r="D128" i="10789"/>
  <c r="G120" i="10923"/>
  <c r="E132" i="10789"/>
  <c r="D132" i="10789"/>
  <c r="G124" i="10923"/>
  <c r="E136" i="10789"/>
  <c r="D136" i="10789"/>
  <c r="G128" i="10923"/>
  <c r="E140" i="10789"/>
  <c r="D140" i="10789"/>
  <c r="G132" i="10923"/>
  <c r="E144" i="10789"/>
  <c r="D144" i="10789"/>
  <c r="G136" i="10923"/>
  <c r="D148" i="10789"/>
  <c r="E148" i="10789"/>
  <c r="G140" i="10923"/>
  <c r="D152" i="10789"/>
  <c r="E152" i="10789"/>
  <c r="G144" i="10923"/>
  <c r="D156" i="10789"/>
  <c r="E156" i="10789"/>
  <c r="G148" i="10923"/>
  <c r="D160" i="10789"/>
  <c r="E160" i="10789"/>
  <c r="G152" i="10923"/>
  <c r="D164" i="10789"/>
  <c r="E164" i="10789"/>
  <c r="G156" i="10923"/>
  <c r="D168" i="10789"/>
  <c r="E168" i="10789"/>
  <c r="G160" i="10923"/>
  <c r="D172" i="10789"/>
  <c r="E172" i="10789"/>
  <c r="G164" i="10923"/>
  <c r="G168" i="10923"/>
  <c r="D180" i="10789"/>
  <c r="E180" i="10789"/>
  <c r="G172" i="10923"/>
  <c r="D184" i="10789"/>
  <c r="E184" i="10789"/>
  <c r="G176" i="10923"/>
  <c r="D188" i="10789"/>
  <c r="E188" i="10789"/>
  <c r="G180" i="10923"/>
  <c r="D192" i="10789"/>
  <c r="E192" i="10789"/>
  <c r="G184" i="10923"/>
  <c r="D196" i="10789"/>
  <c r="E196" i="10789"/>
  <c r="D200" i="10789"/>
  <c r="E200" i="10789"/>
  <c r="D204" i="10789"/>
  <c r="E204" i="10789"/>
  <c r="D208" i="10789"/>
  <c r="E208" i="10789"/>
  <c r="D212" i="10789"/>
  <c r="E212" i="10789"/>
  <c r="E216" i="10789"/>
  <c r="D216" i="10789"/>
  <c r="D16" i="10789"/>
  <c r="D20" i="10789"/>
  <c r="D24" i="10789"/>
  <c r="D28" i="10789"/>
  <c r="D32" i="10789"/>
  <c r="D36" i="10789"/>
  <c r="E41" i="10789"/>
  <c r="D52" i="10789"/>
  <c r="E57" i="10789"/>
  <c r="E65" i="10789"/>
  <c r="E78" i="10789"/>
  <c r="E94" i="10789"/>
  <c r="E110" i="10789"/>
  <c r="D137" i="10789"/>
  <c r="E121" i="10789"/>
  <c r="D121" i="10789"/>
  <c r="E46" i="10789"/>
  <c r="D46" i="10789"/>
  <c r="E50" i="10789"/>
  <c r="D50" i="10789"/>
  <c r="E54" i="10789"/>
  <c r="D54" i="10789"/>
  <c r="D62" i="10789"/>
  <c r="E62" i="10789"/>
  <c r="D64" i="10789"/>
  <c r="E64" i="10789"/>
  <c r="D66" i="10789"/>
  <c r="E66" i="10789"/>
  <c r="D68" i="10789"/>
  <c r="E68" i="10789"/>
  <c r="D72" i="10789"/>
  <c r="E72" i="10789"/>
  <c r="G103" i="10923"/>
  <c r="D115" i="10789"/>
  <c r="E115" i="10789"/>
  <c r="G107" i="10923"/>
  <c r="E119" i="10789"/>
  <c r="D119" i="10789"/>
  <c r="G111" i="10923"/>
  <c r="E123" i="10789"/>
  <c r="D123" i="10789"/>
  <c r="G115" i="10923"/>
  <c r="E127" i="10789"/>
  <c r="D127" i="10789"/>
  <c r="G119" i="10923"/>
  <c r="E131" i="10789"/>
  <c r="D131" i="10789"/>
  <c r="G123" i="10923"/>
  <c r="E135" i="10789"/>
  <c r="D135" i="10789"/>
  <c r="G127" i="10923"/>
  <c r="E139" i="10789"/>
  <c r="D139" i="10789"/>
  <c r="G131" i="10923"/>
  <c r="E143" i="10789"/>
  <c r="D143" i="10789"/>
  <c r="G135" i="10923"/>
  <c r="E147" i="10789"/>
  <c r="D147" i="10789"/>
  <c r="G139" i="10923"/>
  <c r="E151" i="10789"/>
  <c r="D151" i="10789"/>
  <c r="G143" i="10923"/>
  <c r="G147" i="10923"/>
  <c r="E159" i="10789"/>
  <c r="D159" i="10789"/>
  <c r="G151" i="10923"/>
  <c r="E163" i="10789"/>
  <c r="D163" i="10789"/>
  <c r="G155" i="10923"/>
  <c r="E167" i="10789"/>
  <c r="D167" i="10789"/>
  <c r="G159" i="10923"/>
  <c r="E171" i="10789"/>
  <c r="D171" i="10789"/>
  <c r="G163" i="10923"/>
  <c r="E175" i="10789"/>
  <c r="D175" i="10789"/>
  <c r="G167" i="10923"/>
  <c r="E179" i="10789"/>
  <c r="D179" i="10789"/>
  <c r="G171" i="10923"/>
  <c r="E183" i="10789"/>
  <c r="D183" i="10789"/>
  <c r="G175" i="10923"/>
  <c r="E187" i="10789"/>
  <c r="D187" i="10789"/>
  <c r="G179" i="10923"/>
  <c r="E191" i="10789"/>
  <c r="D191" i="10789"/>
  <c r="G183" i="10923"/>
  <c r="E195" i="10789"/>
  <c r="D195" i="10789"/>
  <c r="E199" i="10789"/>
  <c r="D199" i="10789"/>
  <c r="E203" i="10789"/>
  <c r="D203" i="10789"/>
  <c r="E207" i="10789"/>
  <c r="D207" i="10789"/>
  <c r="E211" i="10789"/>
  <c r="D211" i="10789"/>
  <c r="E215" i="10789"/>
  <c r="D215" i="10789"/>
  <c r="D17" i="10789"/>
  <c r="D21" i="10789"/>
  <c r="D25" i="10789"/>
  <c r="D29" i="10789"/>
  <c r="D33" i="10789"/>
  <c r="E37" i="10789"/>
  <c r="E7" i="10789" s="1"/>
  <c r="E9" i="10789" s="1"/>
  <c r="D48" i="10789"/>
  <c r="E53" i="10789"/>
  <c r="E59" i="10789"/>
  <c r="E67" i="10789"/>
  <c r="E82" i="10789"/>
  <c r="E98" i="10789"/>
  <c r="E114" i="10789"/>
  <c r="D155" i="10789"/>
  <c r="D113" i="10789"/>
  <c r="E113" i="10789"/>
  <c r="E42" i="10789"/>
  <c r="D42" i="10789"/>
  <c r="D58" i="10789"/>
  <c r="E58" i="10789"/>
  <c r="E122" i="10789"/>
  <c r="D122" i="10789"/>
  <c r="E126" i="10789"/>
  <c r="D126" i="10789"/>
  <c r="E130" i="10789"/>
  <c r="D130" i="10789"/>
  <c r="E134" i="10789"/>
  <c r="D134" i="10789"/>
  <c r="E138" i="10789"/>
  <c r="D138" i="10789"/>
  <c r="E142" i="10789"/>
  <c r="D142" i="10789"/>
  <c r="E146" i="10789"/>
  <c r="D146" i="10789"/>
  <c r="E150" i="10789"/>
  <c r="D150" i="10789"/>
  <c r="E154" i="10789"/>
  <c r="D154" i="10789"/>
  <c r="E158" i="10789"/>
  <c r="D158" i="10789"/>
  <c r="E162" i="10789"/>
  <c r="D162" i="10789"/>
  <c r="E166" i="10789"/>
  <c r="D166" i="10789"/>
  <c r="E170" i="10789"/>
  <c r="D170" i="10789"/>
  <c r="E174" i="10789"/>
  <c r="D174" i="10789"/>
  <c r="E178" i="10789"/>
  <c r="D178" i="10789"/>
  <c r="E182" i="10789"/>
  <c r="D182" i="10789"/>
  <c r="E186" i="10789"/>
  <c r="D186" i="10789"/>
  <c r="E190" i="10789"/>
  <c r="D190" i="10789"/>
  <c r="E194" i="10789"/>
  <c r="D194" i="10789"/>
  <c r="E202" i="10789"/>
  <c r="D202" i="10789"/>
  <c r="E206" i="10789"/>
  <c r="D206" i="10789"/>
  <c r="E210" i="10789"/>
  <c r="D210" i="10789"/>
  <c r="E214" i="10789"/>
  <c r="D214" i="10789"/>
  <c r="D14" i="10789"/>
  <c r="D18" i="10789"/>
  <c r="D22" i="10789"/>
  <c r="D26" i="10789"/>
  <c r="D30" i="10789"/>
  <c r="D34" i="10789"/>
  <c r="D44" i="10789"/>
  <c r="E49" i="10789"/>
  <c r="E61" i="10789"/>
  <c r="E70" i="10789"/>
  <c r="E86" i="10789"/>
  <c r="E102" i="10789"/>
  <c r="E118" i="10789"/>
  <c r="E176" i="10789"/>
  <c r="E24" i="10790"/>
  <c r="D15" i="10790"/>
  <c r="D24" i="10790"/>
  <c r="D36" i="10790"/>
  <c r="D14" i="10790" l="1"/>
  <c r="F36" i="10790" s="1"/>
  <c r="E7" i="10931"/>
  <c r="E9" i="10931" s="1"/>
  <c r="E7" i="10928"/>
  <c r="E9" i="10928" s="1"/>
  <c r="E3" i="10928"/>
  <c r="E4" i="10928" s="1"/>
  <c r="E39" i="10790"/>
  <c r="E35" i="10790"/>
  <c r="E31" i="10790"/>
  <c r="E27" i="10790"/>
  <c r="E22" i="10790"/>
  <c r="E17" i="10790"/>
  <c r="E40" i="10790"/>
  <c r="E36" i="10790"/>
  <c r="E32" i="10790"/>
  <c r="E28" i="10790"/>
  <c r="E23" i="10790"/>
  <c r="E18" i="10790"/>
  <c r="E15" i="10790"/>
  <c r="E37" i="10790"/>
  <c r="E33" i="10790"/>
  <c r="E29" i="10790"/>
  <c r="E25" i="10790"/>
  <c r="E20" i="10790"/>
  <c r="E19" i="10790"/>
  <c r="E16" i="10790"/>
  <c r="E34" i="10790"/>
  <c r="E26" i="10790"/>
  <c r="E8" i="10790"/>
  <c r="E30" i="10790"/>
  <c r="E38" i="10790"/>
  <c r="E21" i="10790"/>
  <c r="E11" i="10789"/>
  <c r="E3" i="10789"/>
  <c r="E4" i="10789" s="1"/>
  <c r="E10" i="10789"/>
  <c r="C11" i="10790"/>
  <c r="E6" i="10789"/>
  <c r="F24" i="10790" l="1"/>
  <c r="E11" i="10790"/>
  <c r="F38" i="10790"/>
  <c r="F34" i="10790"/>
  <c r="F30" i="10790"/>
  <c r="F26" i="10790"/>
  <c r="F21" i="10790"/>
  <c r="F31" i="10790"/>
  <c r="F39" i="10790"/>
  <c r="F22" i="10790"/>
  <c r="F17" i="10790"/>
  <c r="F35" i="10790"/>
  <c r="F27" i="10790"/>
  <c r="F25" i="10790"/>
  <c r="F29" i="10790"/>
  <c r="F32" i="10790"/>
  <c r="F19" i="10790"/>
  <c r="F16" i="10790"/>
  <c r="F33" i="10790"/>
  <c r="F40" i="10790"/>
  <c r="F28" i="10790"/>
  <c r="F23" i="10790"/>
  <c r="F37" i="10790"/>
  <c r="F20" i="10790"/>
  <c r="F18" i="10790"/>
  <c r="F15" i="10790"/>
</calcChain>
</file>

<file path=xl/comments1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建议按测试特性建模形成的特性划分子特性，子特性的划分是为了更准确的进行估计</t>
        </r>
      </text>
    </comment>
  </commentList>
</comments>
</file>

<file path=xl/comments2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本段估计测试设计活动中各模块/子系统的新增修改用例总数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 xml:space="preserve">本特性新增修改用例总数
</t>
        </r>
      </text>
    </comment>
  </commentList>
</comments>
</file>

<file path=xl/comments3.xml><?xml version="1.0" encoding="utf-8"?>
<comments xmlns="http://schemas.openxmlformats.org/spreadsheetml/2006/main">
  <authors>
    <author>吴超弋</author>
  </authors>
  <commentList>
    <comment ref="B7" authorId="0" shapeId="0">
      <text>
        <r>
          <rPr>
            <sz val="9"/>
            <color indexed="81"/>
            <rFont val="宋体"/>
            <family val="3"/>
            <charset val="134"/>
          </rPr>
          <t xml:space="preserve">“新增用例”是指：
1、所有新增的用例。
2、包括部分需要修改的老用例，其修改工作量跟新写用例差不多。
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“继承用例”是指：
基本不需要修改的可以直接执行的老用例。</t>
        </r>
      </text>
    </comment>
  </commentList>
</comments>
</file>

<file path=xl/comments4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建议按测试特性建模形成的特性划分子特性，子特性的划分是为了更准确的进行估计</t>
        </r>
      </text>
    </comment>
  </commentList>
</comments>
</file>

<file path=xl/comments5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本段估计测试设计活动中各模块/子系统的新增修改用例总数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 xml:space="preserve">本特性新增修改用例总数
</t>
        </r>
      </text>
    </comment>
  </commentList>
</comments>
</file>

<file path=xl/comments6.xml><?xml version="1.0" encoding="utf-8"?>
<comments xmlns="http://schemas.openxmlformats.org/spreadsheetml/2006/main">
  <authors>
    <author>吴超弋</author>
  </authors>
  <commentList>
    <comment ref="B7" authorId="0" shapeId="0">
      <text>
        <r>
          <rPr>
            <sz val="9"/>
            <color indexed="81"/>
            <rFont val="宋体"/>
            <family val="3"/>
            <charset val="134"/>
          </rPr>
          <t xml:space="preserve">“新增用例”是指：
1、所有新增的用例。
2、包括部分需要修改的老用例，其修改工作量跟新写用例差不多。
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“继承用例”是指：
基本不需要修改的可以直接执行的老用例。</t>
        </r>
      </text>
    </comment>
  </commentList>
</comments>
</file>

<file path=xl/comments7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建议按测试特性建模形成的特性划分子特性，子特性的划分是为了更准确的进行估计</t>
        </r>
      </text>
    </comment>
  </commentList>
</comments>
</file>

<file path=xl/comments8.xml><?xml version="1.0" encoding="utf-8"?>
<comments xmlns="http://schemas.openxmlformats.org/spreadsheetml/2006/main">
  <authors>
    <author>wys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本段估计测试设计活动中各模块/子系统的新增修改用例总数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 xml:space="preserve">本特性新增修改用例总数
</t>
        </r>
      </text>
    </comment>
  </commentList>
</comments>
</file>

<file path=xl/comments9.xml><?xml version="1.0" encoding="utf-8"?>
<comments xmlns="http://schemas.openxmlformats.org/spreadsheetml/2006/main">
  <authors>
    <author>吴超弋</author>
  </authors>
  <commentList>
    <comment ref="B7" authorId="0" shapeId="0">
      <text>
        <r>
          <rPr>
            <sz val="9"/>
            <color indexed="81"/>
            <rFont val="宋体"/>
            <family val="3"/>
            <charset val="134"/>
          </rPr>
          <t xml:space="preserve">“新增用例”是指：
1、所有新增的用例。
2、包括部分需要修改的老用例，其修改工作量跟新写用例差不多。
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“继承用例”是指：
基本不需要修改的可以直接执行的老用例。</t>
        </r>
      </text>
    </comment>
  </commentList>
</comments>
</file>

<file path=xl/comments10.xml><?xml version="1.0" encoding="utf-8"?>
<comments xmlns="http://schemas.openxmlformats.org/spreadsheetml/2006/main">
  <authors>
    <author>吴超弋</author>
    <author>t35507</author>
    <author>zhuxiaolin</author>
  </authors>
  <commentList>
    <comment ref="D5" authorId="0" shapeId="0">
      <text>
        <r>
          <rPr>
            <sz val="9"/>
            <color indexed="81"/>
            <rFont val="宋体"/>
            <family val="3"/>
            <charset val="134"/>
          </rPr>
          <t>该值仅供参考对比，不作为最终计算测试工作量的依据。</t>
        </r>
      </text>
    </comment>
    <comment ref="D13" authorId="1" shapeId="0">
      <text>
        <r>
          <rPr>
            <sz val="9"/>
            <color indexed="81"/>
            <rFont val="宋体"/>
            <family val="3"/>
            <charset val="134"/>
          </rPr>
          <t>手工调整工作量不能超过按特性预估工作量的10%</t>
        </r>
      </text>
    </comment>
    <comment ref="B24" authorId="2" shapeId="0">
      <text>
        <r>
          <rPr>
            <sz val="9"/>
            <color indexed="81"/>
            <rFont val="宋体"/>
            <family val="3"/>
            <charset val="134"/>
          </rPr>
          <t xml:space="preserve">SDV测试执行工作量(人时)＝SDV阶段自动化工作量(人时)＋所有特性SDV测试执行的工作量(人时)
</t>
        </r>
      </text>
    </comment>
  </commentList>
</comments>
</file>

<file path=xl/sharedStrings.xml><?xml version="1.0" encoding="utf-8"?>
<sst xmlns="http://schemas.openxmlformats.org/spreadsheetml/2006/main" count="286" uniqueCount="179">
  <si>
    <r>
      <t xml:space="preserve">Revision record </t>
    </r>
    <r>
      <rPr>
        <b/>
        <sz val="10"/>
        <rFont val="宋体"/>
        <family val="3"/>
        <charset val="134"/>
      </rPr>
      <t>修订记录</t>
    </r>
    <phoneticPr fontId="0" type="noConversion"/>
  </si>
  <si>
    <r>
      <t xml:space="preserve">Remarks </t>
    </r>
    <r>
      <rPr>
        <b/>
        <sz val="10"/>
        <rFont val="宋体"/>
        <family val="3"/>
        <charset val="134"/>
      </rPr>
      <t>说明</t>
    </r>
    <phoneticPr fontId="0" type="noConversion"/>
  </si>
  <si>
    <t>模板使用说明</t>
    <phoneticPr fontId="10" type="noConversion"/>
  </si>
  <si>
    <t>色块</t>
  </si>
  <si>
    <t>意义说明</t>
  </si>
  <si>
    <t>表示受保护的自动计算单元或标题，不可以编辑</t>
  </si>
  <si>
    <t>表示需要手工填写的单元，可以编辑</t>
  </si>
  <si>
    <t>表示虽然有计算公式，但是需要时仍然可以手工编辑修改</t>
  </si>
  <si>
    <t>WBD方法和估计模板使用要点说明</t>
  </si>
  <si>
    <t>1、TPM 准备估计计划，组建估计小组，指定估计协调人、进行估计范围的指定和模块/任务分解，填写本模板BASICINFO页内容等；</t>
  </si>
  <si>
    <t>2、进行估计介绍会议，介绍被估计的版本和范围等；估计协调员分发规模估计表（SIZE_ROUND 1）</t>
  </si>
  <si>
    <t>3、各估计员独立完成估计，协调员收集汇总估计结果</t>
  </si>
  <si>
    <t>4、估计不能达成较一致意见情况下进行第二轮估计（只对偏差较大，结果未被接受的模块重新进行）</t>
  </si>
  <si>
    <t>PERTSIZNG方法和估计模板使用要点说明</t>
    <phoneticPr fontId="10" type="noConversion"/>
  </si>
  <si>
    <t>4、通过估计讨论会议确定最终的规模估计结果；</t>
    <phoneticPr fontId="10" type="noConversion"/>
  </si>
  <si>
    <t>本模板中，规模估计包括测试方案规模估计和测试用例规模估计；</t>
    <phoneticPr fontId="10" type="noConversion"/>
  </si>
  <si>
    <r>
      <t>特性名称</t>
    </r>
    <r>
      <rPr>
        <b/>
        <sz val="10"/>
        <rFont val="Arial"/>
        <family val="2"/>
      </rPr>
      <t xml:space="preserve">             </t>
    </r>
    <phoneticPr fontId="0" type="noConversion"/>
  </si>
  <si>
    <t xml:space="preserve">特性分解             </t>
    <phoneticPr fontId="0" type="noConversion"/>
  </si>
  <si>
    <t>1、TPM 准备估计计划，组建估计小组，进行估计范围的指定和特性分解，指定各特性的估计负责人、填写本模板中的“BASICINFO”页内容等；</t>
    <phoneticPr fontId="10" type="noConversion"/>
  </si>
  <si>
    <t>3、各估计员采用PERTSIZING方法独立完成各自负责特性的测试用例、测试方案规模估计，协调员收集汇总估计结果</t>
    <phoneticPr fontId="10" type="noConversion"/>
  </si>
  <si>
    <t>特性名称</t>
    <phoneticPr fontId="10" type="noConversion"/>
  </si>
  <si>
    <t>总计</t>
    <phoneticPr fontId="10" type="noConversion"/>
  </si>
  <si>
    <t>测试需求分析与计划</t>
  </si>
  <si>
    <t>测试需求分析(TAP)</t>
  </si>
  <si>
    <t>制定测试策略(TAP)</t>
  </si>
  <si>
    <t>制定测试计划(TAP)</t>
  </si>
  <si>
    <t>测试设计</t>
  </si>
  <si>
    <t>测试方案设计(TD)</t>
  </si>
  <si>
    <t>制定测试策略(TD)</t>
  </si>
  <si>
    <t>测试用例设计(TD)</t>
  </si>
  <si>
    <t>SDV测试执行</t>
  </si>
  <si>
    <t>SDV测试执行准备</t>
  </si>
  <si>
    <t>编写测试报告(SDV)</t>
  </si>
  <si>
    <t>测试设计优化(SDV)</t>
  </si>
  <si>
    <t>公共活动</t>
    <phoneticPr fontId="10" type="noConversion"/>
  </si>
  <si>
    <t>培训活动</t>
  </si>
  <si>
    <t>新员工活动</t>
  </si>
  <si>
    <t>任务名称</t>
    <phoneticPr fontId="10" type="noConversion"/>
  </si>
  <si>
    <t>仅仅在黄色区域/单元填写数据或文本</t>
    <phoneticPr fontId="10" type="noConversion"/>
  </si>
  <si>
    <t>定义产品包可测试性需求(TAP)</t>
    <phoneticPr fontId="10" type="noConversion"/>
  </si>
  <si>
    <t>其他</t>
    <phoneticPr fontId="10" type="noConversion"/>
  </si>
  <si>
    <r>
      <t>调整前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</si>
  <si>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>调整后</t>
    </r>
    <r>
      <rPr>
        <b/>
        <sz val="10"/>
        <color indexed="8"/>
        <rFont val="宋体"/>
        <family val="3"/>
        <charset val="134"/>
      </rPr>
      <t>占总工作量比例</t>
    </r>
    <phoneticPr fontId="10" type="noConversion"/>
  </si>
  <si>
    <r>
      <t xml:space="preserve">               Enter data below in yellow cells ONLY.</t>
    </r>
    <r>
      <rPr>
        <i/>
        <sz val="10"/>
        <color indexed="10"/>
        <rFont val="宋体"/>
        <family val="3"/>
        <charset val="134"/>
      </rPr>
      <t>仅在黄色格内输出</t>
    </r>
    <phoneticPr fontId="0" type="noConversion"/>
  </si>
  <si>
    <r>
      <t>General  Information</t>
    </r>
    <r>
      <rPr>
        <b/>
        <sz val="12"/>
        <rFont val="宋体"/>
        <family val="3"/>
        <charset val="134"/>
      </rPr>
      <t>项目基本信息</t>
    </r>
    <phoneticPr fontId="0" type="noConversion"/>
  </si>
  <si>
    <t>估计人员</t>
    <phoneticPr fontId="0" type="noConversion"/>
  </si>
  <si>
    <t>返回首页</t>
    <phoneticPr fontId="10" type="noConversion"/>
  </si>
  <si>
    <t>总用例数（个）</t>
    <phoneticPr fontId="10" type="noConversion"/>
  </si>
  <si>
    <t>方案总页数（页）</t>
    <phoneticPr fontId="10" type="noConversion"/>
  </si>
  <si>
    <t>新增用例规模（个）</t>
    <phoneticPr fontId="10" type="noConversion"/>
  </si>
  <si>
    <t>继承用例规模（个）</t>
    <phoneticPr fontId="10" type="noConversion"/>
  </si>
  <si>
    <t>用例总规模（个）</t>
    <phoneticPr fontId="10" type="noConversion"/>
  </si>
  <si>
    <t>SDV测试用例执行覆盖度</t>
    <phoneticPr fontId="10" type="noConversion"/>
  </si>
  <si>
    <t>测试用例密度（个/Kloc）</t>
    <phoneticPr fontId="10" type="noConversion"/>
  </si>
  <si>
    <t>变更代码量（KLoc）</t>
    <phoneticPr fontId="10" type="noConversion"/>
  </si>
  <si>
    <t>代码总规模（KLOC）</t>
    <phoneticPr fontId="10" type="noConversion"/>
  </si>
  <si>
    <r>
      <t>转到</t>
    </r>
    <r>
      <rPr>
        <u/>
        <sz val="10.45"/>
        <color indexed="12"/>
        <rFont val="Arial"/>
        <family val="2"/>
      </rPr>
      <t>TotalEffort</t>
    </r>
    <phoneticPr fontId="0" type="noConversion"/>
  </si>
  <si>
    <t>Assumption/Constraint假定和限制条件</t>
    <phoneticPr fontId="0" type="noConversion"/>
  </si>
  <si>
    <r>
      <t xml:space="preserve">Test Cases Design Size Estimation </t>
    </r>
    <r>
      <rPr>
        <b/>
        <sz val="12"/>
        <rFont val="宋体"/>
        <family val="3"/>
        <charset val="134"/>
      </rPr>
      <t>测试用例设计规模估计</t>
    </r>
    <phoneticPr fontId="0" type="noConversion"/>
  </si>
  <si>
    <r>
      <t>用例规模值</t>
    </r>
    <r>
      <rPr>
        <sz val="10"/>
        <rFont val="Arial"/>
        <family val="2"/>
      </rPr>
      <t xml:space="preserve">              </t>
    </r>
    <r>
      <rPr>
        <sz val="10"/>
        <rFont val="宋体"/>
        <family val="3"/>
        <charset val="134"/>
      </rPr>
      <t>特性</t>
    </r>
    <phoneticPr fontId="0" type="noConversion"/>
  </si>
  <si>
    <r>
      <t xml:space="preserve">Min  </t>
    </r>
    <r>
      <rPr>
        <sz val="10"/>
        <rFont val="宋体"/>
        <family val="3"/>
        <charset val="134"/>
      </rPr>
      <t>最小</t>
    </r>
    <r>
      <rPr>
        <sz val="10"/>
        <rFont val="宋体"/>
        <family val="3"/>
        <charset val="134"/>
      </rPr>
      <t>值</t>
    </r>
    <phoneticPr fontId="10" type="noConversion"/>
  </si>
  <si>
    <t xml:space="preserve"> 最可能值</t>
    <phoneticPr fontId="10" type="noConversion"/>
  </si>
  <si>
    <r>
      <t>Max</t>
    </r>
    <r>
      <rPr>
        <sz val="10"/>
        <rFont val="宋体"/>
        <family val="3"/>
        <charset val="134"/>
      </rPr>
      <t>最大值</t>
    </r>
    <phoneticPr fontId="10" type="noConversion"/>
  </si>
  <si>
    <t>期望值结果</t>
    <phoneticPr fontId="10" type="noConversion"/>
  </si>
  <si>
    <r>
      <t xml:space="preserve">Variance Rate </t>
    </r>
    <r>
      <rPr>
        <sz val="10"/>
        <rFont val="宋体"/>
        <family val="3"/>
        <charset val="134"/>
      </rPr>
      <t>偏差率</t>
    </r>
    <phoneticPr fontId="10" type="noConversion"/>
  </si>
  <si>
    <t>各特性测试用例规模（个）</t>
    <phoneticPr fontId="0" type="noConversion"/>
  </si>
  <si>
    <t>测试方案设计效率（页/人天）</t>
    <phoneticPr fontId="10" type="noConversion"/>
  </si>
  <si>
    <t>测试用例设计效率（个/人天）</t>
    <phoneticPr fontId="10" type="noConversion"/>
  </si>
  <si>
    <t>用例方案比率（新增用例数/页）</t>
    <phoneticPr fontId="10" type="noConversion"/>
  </si>
  <si>
    <t>方案页数（页）</t>
    <phoneticPr fontId="10" type="noConversion"/>
  </si>
  <si>
    <t>方案设计工作量（人天）</t>
    <phoneticPr fontId="10" type="noConversion"/>
  </si>
  <si>
    <t>用例设计工作量（人天）</t>
    <phoneticPr fontId="10" type="noConversion"/>
  </si>
  <si>
    <t>测试用例执行效率（个/人天）</t>
    <phoneticPr fontId="10" type="noConversion"/>
  </si>
  <si>
    <t>继承用例执行工作量（人天）</t>
    <phoneticPr fontId="10" type="noConversion"/>
  </si>
  <si>
    <t>新增用例执行工作量（人天）</t>
    <phoneticPr fontId="10" type="noConversion"/>
  </si>
  <si>
    <t>用例执行总工作量（人天）</t>
    <phoneticPr fontId="10" type="noConversion"/>
  </si>
  <si>
    <t>新增测试用例规模（个）</t>
    <phoneticPr fontId="10" type="noConversion"/>
  </si>
  <si>
    <t>新增测试用例设计
（人天）</t>
    <phoneticPr fontId="10" type="noConversion"/>
  </si>
  <si>
    <t>新增测试用例执行
（人天）</t>
    <phoneticPr fontId="10" type="noConversion"/>
  </si>
  <si>
    <t>技术贡献和交流活动</t>
    <phoneticPr fontId="10" type="noConversion"/>
  </si>
  <si>
    <t>仅仅在黄色区域/单元填写数据或文本</t>
    <phoneticPr fontId="10" type="noConversion"/>
  </si>
  <si>
    <t>测试工具开发</t>
    <phoneticPr fontId="10" type="noConversion"/>
  </si>
  <si>
    <t>测试工具技术讨论或前期准备</t>
  </si>
  <si>
    <t>测试工具需求分析</t>
  </si>
  <si>
    <t>测试工具概要/详细设计</t>
  </si>
  <si>
    <t>测试工具编码/单元测试</t>
  </si>
  <si>
    <t>测试工具系统测试</t>
  </si>
  <si>
    <t>测试工具维护</t>
  </si>
  <si>
    <t>Configure Modules 配置模块</t>
    <phoneticPr fontId="0" type="noConversion"/>
  </si>
  <si>
    <t>人天(调整值)</t>
    <phoneticPr fontId="10" type="noConversion"/>
  </si>
  <si>
    <t>测试用例</t>
    <phoneticPr fontId="10" type="noConversion"/>
  </si>
  <si>
    <t>人天（估计值）</t>
    <phoneticPr fontId="10" type="noConversion"/>
  </si>
  <si>
    <t>测试用例密度（个/KLOC）</t>
    <phoneticPr fontId="10" type="noConversion"/>
  </si>
  <si>
    <t>测试效率（KLOC/人天）</t>
    <phoneticPr fontId="10" type="noConversion"/>
  </si>
  <si>
    <t>新增总用例数（个）</t>
    <phoneticPr fontId="10" type="noConversion"/>
  </si>
  <si>
    <t>继承总用例数（个）</t>
    <phoneticPr fontId="10" type="noConversion"/>
  </si>
  <si>
    <t>用例执行工作量（人天）</t>
    <phoneticPr fontId="10" type="noConversion"/>
  </si>
  <si>
    <t>SDV测试执行阶段工作量（人天）</t>
    <phoneticPr fontId="10" type="noConversion"/>
  </si>
  <si>
    <t>按特性预估工作量（人天）</t>
    <phoneticPr fontId="10" type="noConversion"/>
  </si>
  <si>
    <t>测试总工作量（人天）</t>
    <phoneticPr fontId="10" type="noConversion"/>
  </si>
  <si>
    <t>测试设计阶段工作量（人天）</t>
    <phoneticPr fontId="10" type="noConversion"/>
  </si>
  <si>
    <t>按测试效率计算工作量（人天）</t>
    <phoneticPr fontId="10" type="noConversion"/>
  </si>
  <si>
    <r>
      <t>备注</t>
    </r>
    <r>
      <rPr>
        <sz val="10"/>
        <rFont val="Arial"/>
        <family val="2"/>
      </rPr>
      <t>:</t>
    </r>
    <r>
      <rPr>
        <sz val="10"/>
        <rFont val="宋体"/>
        <family val="3"/>
        <charset val="134"/>
      </rPr>
      <t>估计粒度</t>
    </r>
    <r>
      <rPr>
        <sz val="10"/>
        <rFont val="Arial"/>
        <family val="2"/>
      </rPr>
      <t>&lt;100</t>
    </r>
    <r>
      <rPr>
        <sz val="10"/>
        <rFont val="宋体"/>
        <family val="3"/>
        <charset val="134"/>
      </rPr>
      <t>个用例</t>
    </r>
    <r>
      <rPr>
        <sz val="10"/>
        <rFont val="Arial"/>
        <family val="2"/>
      </rPr>
      <t>,</t>
    </r>
    <r>
      <rPr>
        <sz val="10"/>
        <rFont val="宋体"/>
        <family val="3"/>
        <charset val="134"/>
      </rPr>
      <t>特殊情况批注说明</t>
    </r>
    <phoneticPr fontId="10" type="noConversion"/>
  </si>
  <si>
    <r>
      <t>测试方案(</t>
    </r>
    <r>
      <rPr>
        <sz val="10"/>
        <color indexed="12"/>
        <rFont val="宋体"/>
        <family val="3"/>
        <charset val="134"/>
      </rPr>
      <t>如果无测试方案输出,则不需要估计此工作量</t>
    </r>
    <r>
      <rPr>
        <b/>
        <sz val="10"/>
        <rFont val="宋体"/>
        <family val="3"/>
        <charset val="134"/>
      </rPr>
      <t>)</t>
    </r>
    <phoneticPr fontId="10" type="noConversion"/>
  </si>
  <si>
    <t>项目名称</t>
    <phoneticPr fontId="0" type="noConversion"/>
  </si>
  <si>
    <t>项目经理</t>
    <phoneticPr fontId="0" type="noConversion"/>
  </si>
  <si>
    <t>QA</t>
    <phoneticPr fontId="0" type="noConversion"/>
  </si>
  <si>
    <r>
      <t xml:space="preserve">Testing Project Estimation Sheet </t>
    </r>
    <r>
      <rPr>
        <b/>
        <sz val="14"/>
        <rFont val="宋体"/>
        <family val="3"/>
        <charset val="134"/>
      </rPr>
      <t>测试估计表</t>
    </r>
    <phoneticPr fontId="0" type="noConversion"/>
  </si>
  <si>
    <t xml:space="preserve"> 文件名称</t>
    <phoneticPr fontId="29" type="noConversion"/>
  </si>
  <si>
    <t>研发外包项目测试估计表</t>
    <phoneticPr fontId="29" type="noConversion"/>
  </si>
  <si>
    <t xml:space="preserve"> 版本</t>
    <phoneticPr fontId="29" type="noConversion"/>
  </si>
  <si>
    <t>V1.00</t>
    <phoneticPr fontId="29" type="noConversion"/>
  </si>
  <si>
    <t>生效日期</t>
    <phoneticPr fontId="29" type="noConversion"/>
  </si>
  <si>
    <t xml:space="preserve"> 文件编码</t>
    <phoneticPr fontId="29" type="noConversion"/>
  </si>
  <si>
    <t>流程架构</t>
    <phoneticPr fontId="29" type="noConversion"/>
  </si>
  <si>
    <t>L1</t>
    <phoneticPr fontId="29" type="noConversion"/>
  </si>
  <si>
    <t>IPD</t>
  </si>
  <si>
    <t xml:space="preserve"> 拟制人</t>
    <phoneticPr fontId="29" type="noConversion"/>
  </si>
  <si>
    <t>李刚27526、唐黎00188098</t>
    <phoneticPr fontId="29" type="noConversion"/>
  </si>
  <si>
    <t>L2</t>
    <phoneticPr fontId="29" type="noConversion"/>
  </si>
  <si>
    <t>Manage R&amp;D</t>
    <phoneticPr fontId="29" type="noConversion"/>
  </si>
  <si>
    <t xml:space="preserve"> 审核人</t>
    <phoneticPr fontId="29" type="noConversion"/>
  </si>
  <si>
    <t>赵相一00117590</t>
    <phoneticPr fontId="29" type="noConversion"/>
  </si>
  <si>
    <t>L3</t>
    <phoneticPr fontId="29" type="noConversion"/>
  </si>
  <si>
    <t>Manage R&amp;D Project</t>
  </si>
  <si>
    <t xml:space="preserve"> 批准人</t>
    <phoneticPr fontId="29" type="noConversion"/>
  </si>
  <si>
    <t>刘淑祥00115979</t>
    <phoneticPr fontId="29" type="noConversion"/>
  </si>
  <si>
    <t>L4</t>
    <phoneticPr fontId="29" type="noConversion"/>
  </si>
  <si>
    <t>R&amp;D Subcontract Project Management</t>
    <phoneticPr fontId="29" type="noConversion"/>
  </si>
  <si>
    <t xml:space="preserve"> 适用范围</t>
    <phoneticPr fontId="29" type="noConversion"/>
  </si>
  <si>
    <t>电信软件与核心网业务部、无线、网络、IT产品线、中央软件院</t>
    <phoneticPr fontId="29" type="noConversion"/>
  </si>
  <si>
    <r>
      <t>对应的流程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规范</t>
    </r>
    <r>
      <rPr>
        <b/>
        <sz val="12"/>
        <rFont val="Arial"/>
        <family val="2"/>
      </rPr>
      <t>/</t>
    </r>
    <r>
      <rPr>
        <b/>
        <sz val="12"/>
        <rFont val="宋体"/>
        <family val="3"/>
        <charset val="134"/>
      </rPr>
      <t>操作指导</t>
    </r>
    <phoneticPr fontId="29" type="noConversion"/>
  </si>
  <si>
    <t>文件名称</t>
    <phoneticPr fontId="29" type="noConversion"/>
  </si>
  <si>
    <t>文件编码</t>
    <phoneticPr fontId="29" type="noConversion"/>
  </si>
  <si>
    <t>研发外包项目管理流程</t>
    <phoneticPr fontId="29" type="noConversion"/>
  </si>
  <si>
    <t>BPM</t>
    <phoneticPr fontId="29" type="noConversion"/>
  </si>
  <si>
    <t>修订记录</t>
    <phoneticPr fontId="29" type="noConversion"/>
  </si>
  <si>
    <t>版本</t>
  </si>
  <si>
    <t>拟制/修订责任人</t>
  </si>
  <si>
    <t>拟制/修订日期</t>
  </si>
  <si>
    <t>修订内容及理由</t>
  </si>
  <si>
    <t>批准人</t>
  </si>
  <si>
    <t>基于原软件公司委托开发流程，结合其他产品线的业务实践，经过研发外包流程优化项目组梳理形成公司研发外包流程文档基线。</t>
    <phoneticPr fontId="29" type="noConversion"/>
  </si>
  <si>
    <t>测试估计表使用帮助</t>
    <phoneticPr fontId="10" type="noConversion"/>
  </si>
  <si>
    <t>1.测试估计表结构说明</t>
    <phoneticPr fontId="10" type="noConversion"/>
  </si>
  <si>
    <t>2.各表单使用注意事项</t>
    <phoneticPr fontId="10" type="noConversion"/>
  </si>
  <si>
    <r>
      <t>1.</t>
    </r>
    <r>
      <rPr>
        <u/>
        <sz val="10"/>
        <color indexed="12"/>
        <rFont val="宋体"/>
        <family val="3"/>
        <charset val="134"/>
      </rPr>
      <t>测试估计表结构说明</t>
    </r>
    <phoneticPr fontId="29" type="noConversion"/>
  </si>
  <si>
    <r>
      <t>2.</t>
    </r>
    <r>
      <rPr>
        <u/>
        <sz val="10"/>
        <color indexed="12"/>
        <rFont val="宋体"/>
        <family val="3"/>
        <charset val="134"/>
      </rPr>
      <t>各表单使用注意事项</t>
    </r>
  </si>
  <si>
    <t>EDC&amp;EDP</t>
  </si>
  <si>
    <t>BDI</t>
  </si>
  <si>
    <t>内部优化（BDI过滤异常话单，避免单节点故障隐患,</t>
  </si>
  <si>
    <t>内部优化（报表每日进度展示）</t>
  </si>
  <si>
    <t>【区分不同客户端的需求】EDP 用户活跃 能区分不同类型终端（Android/iOS/WebTV)</t>
    <phoneticPr fontId="10" type="noConversion"/>
  </si>
  <si>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视频报表队列迁移</t>
    </r>
    <phoneticPr fontId="10" type="noConversion"/>
  </si>
  <si>
    <t>内部优化（报表每日进度展示）</t>
    <phoneticPr fontId="10" type="noConversion"/>
  </si>
  <si>
    <t>内部优化,BDI在话单采集控制流增加参加校验</t>
    <phoneticPr fontId="10" type="noConversion"/>
  </si>
  <si>
    <t>内部优化（BDI过滤异常话单，避免单节点故障隐患,</t>
    <phoneticPr fontId="10" type="noConversion"/>
  </si>
  <si>
    <t>内部优化（报表每日进度展示）</t>
    <phoneticPr fontId="10" type="noConversion"/>
  </si>
  <si>
    <r>
      <rPr>
        <sz val="10"/>
        <rFont val="宋体"/>
        <family val="3"/>
        <charset val="134"/>
      </rPr>
      <t>【区分不同客户端的需求】</t>
    </r>
    <r>
      <rPr>
        <sz val="10"/>
        <rFont val="Arial"/>
        <family val="2"/>
      </rPr>
      <t xml:space="preserve">EDP </t>
    </r>
    <r>
      <rPr>
        <sz val="10"/>
        <rFont val="宋体"/>
        <family val="3"/>
        <charset val="134"/>
      </rPr>
      <t>用户活跃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能区分不同类型终端（</t>
    </r>
    <r>
      <rPr>
        <sz val="10"/>
        <rFont val="Arial"/>
        <family val="2"/>
      </rPr>
      <t>Android/iOS/WebTV)</t>
    </r>
    <phoneticPr fontId="10" type="noConversion"/>
  </si>
  <si>
    <t>【区分不同客户端的需求】EDP 用户活跃 能区分不同类型终端（Android/iOS/WebTV)</t>
    <phoneticPr fontId="10" type="noConversion"/>
  </si>
  <si>
    <t>【区分不同客户端的需求】EDP 订购用户能区分不同客户端的数据（Android/iOS/WebTV)</t>
  </si>
  <si>
    <t>统计不同版本客户端的数量</t>
    <phoneticPr fontId="10" type="noConversion"/>
  </si>
  <si>
    <t>统计不同客户端的留存用户</t>
    <phoneticPr fontId="10" type="noConversion"/>
  </si>
  <si>
    <t>内部优化（支持时区带小数的项目接入）</t>
    <phoneticPr fontId="10" type="noConversion"/>
  </si>
  <si>
    <t>【区分不同客户端的需求】订购用户能区分不同客户端的数据（Android/iOS/WebTV)
说明：需要统计应用内订购的数量，报表包括日、周、月报表，能区分不同的客户端。 ;
对应章节8.6</t>
    <phoneticPr fontId="10" type="noConversion"/>
  </si>
  <si>
    <t>【统计不同版本客户端的数量】了解客户端版本分布情况，决定是否强制升级客户端
说明：根据不用的客户端，分别统计版本号分布情况。
对应章节8.7</t>
    <phoneticPr fontId="10" type="noConversion"/>
  </si>
  <si>
    <t>【统计不同客户端的留存用户】 分母为当天新增的活跃用户数，分子是第二天还留存的用户 （第二天通过Android登录的用户留存；以及第二天通过WebTV登录的用户留存）。
对应章节8.8</t>
    <phoneticPr fontId="10" type="noConversion"/>
  </si>
  <si>
    <t>支持时区带小数
对应章节8.9</t>
    <phoneticPr fontId="10" type="noConversion"/>
  </si>
  <si>
    <r>
      <rPr>
        <sz val="10"/>
        <rFont val="宋体"/>
        <family val="3"/>
        <charset val="134"/>
      </rPr>
      <t>统计报表能区分不同的客户端的活跃用户数、注册用户活跃数（</t>
    </r>
    <r>
      <rPr>
        <sz val="10"/>
        <rFont val="Arial"/>
        <family val="2"/>
      </rPr>
      <t>Android/iOS/WebTV)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 xml:space="preserve">  ;</t>
    </r>
    <r>
      <rPr>
        <sz val="10"/>
        <rFont val="宋体"/>
        <family val="3"/>
        <charset val="134"/>
      </rPr>
      <t/>
    </r>
    <phoneticPr fontId="10" type="noConversion"/>
  </si>
  <si>
    <r>
      <rPr>
        <sz val="10"/>
        <rFont val="宋体"/>
        <family val="3"/>
        <charset val="134"/>
      </rPr>
      <t>【区分不同客户端的需求】订购用户能区分不同客户端的数据（</t>
    </r>
    <r>
      <rPr>
        <sz val="10"/>
        <rFont val="Arial"/>
        <family val="2"/>
      </rPr>
      <t xml:space="preserve">Android/iOS/WebTV)
</t>
    </r>
    <r>
      <rPr>
        <sz val="10"/>
        <rFont val="宋体"/>
        <family val="3"/>
        <charset val="134"/>
      </rPr>
      <t>说明：需要统计应用内订购的数量，报表包括日、周、月报表，能区分不同的客户端。</t>
    </r>
    <r>
      <rPr>
        <sz val="10"/>
        <rFont val="Arial"/>
        <family val="2"/>
      </rPr>
      <t xml:space="preserve"> ;</t>
    </r>
    <r>
      <rPr>
        <sz val="10"/>
        <rFont val="宋体"/>
        <family val="3"/>
        <charset val="134"/>
      </rPr>
      <t/>
    </r>
    <phoneticPr fontId="10" type="noConversion"/>
  </si>
  <si>
    <t>【统计不同版本客户端的数量】了解客户端版本分布情况，决定是否强制升级客户端
说明：根据不用的客户端，分别统计版本号分布情况。</t>
    <phoneticPr fontId="10" type="noConversion"/>
  </si>
  <si>
    <r>
      <rPr>
        <sz val="10"/>
        <rFont val="宋体"/>
        <family val="3"/>
        <charset val="134"/>
      </rPr>
      <t>【统计不同客户端的留存用户】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分母为当天新增的活跃用户数，分子是第二天还留存的用户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（第二天通过</t>
    </r>
    <r>
      <rPr>
        <sz val="10"/>
        <rFont val="Arial"/>
        <family val="2"/>
      </rPr>
      <t>Android</t>
    </r>
    <r>
      <rPr>
        <sz val="10"/>
        <rFont val="宋体"/>
        <family val="3"/>
        <charset val="134"/>
      </rPr>
      <t>登录的用户留存；以及第二天通过</t>
    </r>
    <r>
      <rPr>
        <sz val="10"/>
        <rFont val="Arial"/>
        <family val="2"/>
      </rPr>
      <t>WebTV</t>
    </r>
    <r>
      <rPr>
        <sz val="10"/>
        <rFont val="宋体"/>
        <family val="3"/>
        <charset val="134"/>
      </rPr>
      <t>登录的用户留存）。</t>
    </r>
    <phoneticPr fontId="10" type="noConversion"/>
  </si>
  <si>
    <t>支持时区带小数</t>
    <phoneticPr fontId="10" type="noConversion"/>
  </si>
  <si>
    <r>
      <rPr>
        <sz val="10"/>
        <rFont val="宋体"/>
        <family val="3"/>
        <charset val="134"/>
      </rPr>
      <t>内部优化</t>
    </r>
    <r>
      <rPr>
        <sz val="10"/>
        <rFont val="Arial"/>
        <family val="2"/>
      </rPr>
      <t>,BDI</t>
    </r>
    <r>
      <rPr>
        <sz val="10"/>
        <rFont val="宋体"/>
        <family val="3"/>
        <charset val="134"/>
      </rPr>
      <t>在话单采集控制流增加参加校验</t>
    </r>
    <phoneticPr fontId="10" type="noConversion"/>
  </si>
  <si>
    <r>
      <rPr>
        <sz val="10"/>
        <rFont val="宋体"/>
        <family val="3"/>
        <charset val="134"/>
      </rPr>
      <t>内部优化（</t>
    </r>
    <r>
      <rPr>
        <sz val="10"/>
        <rFont val="Arial"/>
        <family val="2"/>
      </rPr>
      <t>BDI</t>
    </r>
    <r>
      <rPr>
        <sz val="10"/>
        <rFont val="宋体"/>
        <family val="3"/>
        <charset val="134"/>
      </rPr>
      <t>过滤异常话单，避免单节点故障隐患</t>
    </r>
    <r>
      <rPr>
        <sz val="10"/>
        <rFont val="Arial"/>
        <family val="2"/>
      </rPr>
      <t>,</t>
    </r>
    <phoneticPr fontId="10" type="noConversion"/>
  </si>
  <si>
    <r>
      <rPr>
        <sz val="10"/>
        <rFont val="宋体"/>
        <family val="3"/>
        <charset val="134"/>
      </rPr>
      <t>大数据平台部</t>
    </r>
    <r>
      <rPr>
        <sz val="10"/>
        <rFont val="Arial"/>
        <family val="2"/>
      </rPr>
      <t>eData</t>
    </r>
    <r>
      <rPr>
        <sz val="10"/>
        <rFont val="宋体"/>
        <family val="3"/>
        <charset val="134"/>
      </rPr>
      <t>委托开发</t>
    </r>
    <r>
      <rPr>
        <sz val="10"/>
        <rFont val="Arial"/>
        <family val="2"/>
      </rPr>
      <t>(2017</t>
    </r>
    <r>
      <rPr>
        <sz val="10"/>
        <rFont val="宋体"/>
        <family val="3"/>
        <charset val="134"/>
      </rPr>
      <t>视频一期</t>
    </r>
    <r>
      <rPr>
        <sz val="10"/>
        <rFont val="Arial"/>
        <family val="2"/>
      </rPr>
      <t>)</t>
    </r>
    <phoneticPr fontId="0" type="noConversion"/>
  </si>
  <si>
    <t>曹洁生、崔雪、韩正晶</t>
  </si>
  <si>
    <t>曹洁生</t>
    <phoneticPr fontId="0" type="noConversion"/>
  </si>
  <si>
    <t>姜志华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</si>
</sst>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_ "/>
    <numFmt numFmtId="177" formatCode="0_ "/>
    <numFmt numFmtId="178" formatCode="0.00_ "/>
    <numFmt numFmtId="179" formatCode="0.0_);[Red]\(0.0\)"/>
  </numFmts>
  <fonts count="36"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color indexed="10"/>
      <name val="Arial"/>
      <family val="2"/>
    </font>
    <font>
      <u/>
      <sz val="10.45"/>
      <color indexed="12"/>
      <name val="Arial"/>
      <family val="2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i/>
      <sz val="10"/>
      <color indexed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10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12"/>
      <name val="宋体"/>
      <family val="3"/>
      <charset val="134"/>
    </font>
    <font>
      <u/>
      <sz val="10.45"/>
      <color indexed="12"/>
      <name val="宋体"/>
      <family val="3"/>
      <charset val="134"/>
    </font>
    <font>
      <u/>
      <sz val="10"/>
      <color indexed="12"/>
      <name val="宋体"/>
      <family val="3"/>
      <charset val="134"/>
    </font>
    <font>
      <sz val="12"/>
      <name val="FrutigerNext LT Regular"/>
      <family val="2"/>
    </font>
    <font>
      <sz val="10"/>
      <color indexed="12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11"/>
      <name val="宋体"/>
      <family val="3"/>
      <charset val="134"/>
    </font>
    <font>
      <b/>
      <sz val="12"/>
      <color indexed="10"/>
      <name val="宋体"/>
      <family val="3"/>
      <charset val="134"/>
    </font>
    <font>
      <u/>
      <sz val="10"/>
      <color indexed="12"/>
      <name val="Arial"/>
      <family val="2"/>
    </font>
    <font>
      <sz val="1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29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gray0625"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0" fontId="1" fillId="0" borderId="0"/>
    <xf numFmtId="0" fontId="1" fillId="0" borderId="0"/>
    <xf numFmtId="0" fontId="17" fillId="0" borderId="0">
      <alignment vertical="center"/>
    </xf>
    <xf numFmtId="0" fontId="2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Fill="0">
      <alignment vertical="center"/>
    </xf>
    <xf numFmtId="0" fontId="17" fillId="0" borderId="0">
      <alignment vertical="center"/>
    </xf>
  </cellStyleXfs>
  <cellXfs count="186">
    <xf numFmtId="0" fontId="0" fillId="0" borderId="0" xfId="0"/>
    <xf numFmtId="0" fontId="0" fillId="0" borderId="0" xfId="0" applyProtection="1"/>
    <xf numFmtId="0" fontId="4" fillId="2" borderId="1" xfId="1" applyFont="1" applyFill="1" applyBorder="1" applyProtection="1"/>
    <xf numFmtId="0" fontId="0" fillId="3" borderId="0" xfId="0" applyFill="1"/>
    <xf numFmtId="0" fontId="0" fillId="4" borderId="1" xfId="0" applyFill="1" applyBorder="1" applyProtection="1">
      <protection locked="0"/>
    </xf>
    <xf numFmtId="0" fontId="9" fillId="0" borderId="0" xfId="0" applyFont="1"/>
    <xf numFmtId="177" fontId="0" fillId="3" borderId="0" xfId="0" applyNumberFormat="1" applyFill="1"/>
    <xf numFmtId="177" fontId="0" fillId="2" borderId="1" xfId="0" applyNumberFormat="1" applyFill="1" applyBorder="1" applyProtection="1"/>
    <xf numFmtId="10" fontId="0" fillId="2" borderId="1" xfId="0" applyNumberFormat="1" applyFill="1" applyBorder="1" applyProtection="1"/>
    <xf numFmtId="0" fontId="9" fillId="5" borderId="1" xfId="0" applyFont="1" applyFill="1" applyBorder="1" applyProtection="1"/>
    <xf numFmtId="177" fontId="0" fillId="5" borderId="1" xfId="0" applyNumberFormat="1" applyFill="1" applyBorder="1" applyProtection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6" borderId="2" xfId="0" applyFill="1" applyBorder="1" applyAlignment="1" applyProtection="1">
      <alignment horizontal="center"/>
    </xf>
    <xf numFmtId="177" fontId="9" fillId="2" borderId="1" xfId="0" applyNumberFormat="1" applyFont="1" applyFill="1" applyBorder="1" applyProtection="1"/>
    <xf numFmtId="0" fontId="9" fillId="2" borderId="3" xfId="0" applyFont="1" applyFill="1" applyBorder="1" applyAlignment="1" applyProtection="1">
      <alignment vertical="center" wrapText="1"/>
    </xf>
    <xf numFmtId="0" fontId="9" fillId="2" borderId="1" xfId="0" applyFont="1" applyFill="1" applyBorder="1" applyAlignment="1" applyProtection="1">
      <alignment vertical="center" wrapText="1"/>
    </xf>
    <xf numFmtId="0" fontId="0" fillId="3" borderId="0" xfId="0" applyFill="1" applyAlignment="1">
      <alignment vertical="center"/>
    </xf>
    <xf numFmtId="0" fontId="7" fillId="2" borderId="4" xfId="0" applyFont="1" applyFill="1" applyBorder="1" applyAlignment="1" applyProtection="1">
      <alignment wrapText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178" fontId="18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1" xfId="0" applyFont="1" applyFill="1" applyBorder="1" applyProtection="1"/>
    <xf numFmtId="0" fontId="17" fillId="0" borderId="0" xfId="4" applyProtection="1">
      <alignment vertical="center"/>
    </xf>
    <xf numFmtId="0" fontId="17" fillId="0" borderId="0" xfId="4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horizontal="center" wrapText="1"/>
    </xf>
    <xf numFmtId="0" fontId="9" fillId="7" borderId="1" xfId="0" applyFont="1" applyFill="1" applyBorder="1" applyAlignment="1" applyProtection="1">
      <alignment horizontal="center" vertical="center"/>
    </xf>
    <xf numFmtId="0" fontId="18" fillId="6" borderId="5" xfId="0" applyFont="1" applyFill="1" applyBorder="1" applyAlignment="1" applyProtection="1">
      <alignment vertical="center" wrapText="1"/>
    </xf>
    <xf numFmtId="178" fontId="18" fillId="7" borderId="5" xfId="0" applyNumberFormat="1" applyFont="1" applyFill="1" applyBorder="1" applyAlignment="1" applyProtection="1">
      <alignment horizontal="center" vertical="center" wrapText="1"/>
    </xf>
    <xf numFmtId="0" fontId="20" fillId="6" borderId="5" xfId="0" applyFont="1" applyFill="1" applyBorder="1" applyAlignment="1" applyProtection="1">
      <alignment horizontal="center" vertical="center" wrapText="1"/>
    </xf>
    <xf numFmtId="178" fontId="20" fillId="7" borderId="5" xfId="0" applyNumberFormat="1" applyFont="1" applyFill="1" applyBorder="1" applyAlignment="1" applyProtection="1">
      <alignment horizontal="center" vertical="center" wrapText="1"/>
    </xf>
    <xf numFmtId="0" fontId="18" fillId="8" borderId="5" xfId="0" applyFont="1" applyFill="1" applyBorder="1" applyAlignment="1" applyProtection="1">
      <alignment vertical="center" wrapText="1"/>
    </xf>
    <xf numFmtId="0" fontId="20" fillId="9" borderId="5" xfId="0" applyFont="1" applyFill="1" applyBorder="1" applyAlignment="1" applyProtection="1">
      <alignment vertical="center" wrapText="1"/>
    </xf>
    <xf numFmtId="9" fontId="18" fillId="7" borderId="5" xfId="0" applyNumberFormat="1" applyFont="1" applyFill="1" applyBorder="1" applyAlignment="1" applyProtection="1">
      <alignment horizontal="center" vertical="center" wrapText="1"/>
    </xf>
    <xf numFmtId="178" fontId="18" fillId="8" borderId="5" xfId="0" applyNumberFormat="1" applyFont="1" applyFill="1" applyBorder="1" applyAlignment="1" applyProtection="1">
      <alignment horizontal="center" vertical="center" wrapText="1"/>
    </xf>
    <xf numFmtId="0" fontId="9" fillId="6" borderId="5" xfId="0" applyNumberFormat="1" applyFont="1" applyFill="1" applyBorder="1" applyAlignment="1" applyProtection="1">
      <alignment horizontal="left" vertical="center" wrapText="1"/>
    </xf>
    <xf numFmtId="178" fontId="9" fillId="7" borderId="5" xfId="0" applyNumberFormat="1" applyFont="1" applyFill="1" applyBorder="1" applyAlignment="1" applyProtection="1">
      <alignment horizontal="center" vertical="center" wrapText="1"/>
    </xf>
    <xf numFmtId="0" fontId="9" fillId="3" borderId="6" xfId="0" applyFont="1" applyFill="1" applyBorder="1" applyAlignment="1" applyProtection="1">
      <alignment vertical="center" wrapText="1"/>
    </xf>
    <xf numFmtId="178" fontId="9" fillId="3" borderId="6" xfId="0" applyNumberFormat="1" applyFont="1" applyFill="1" applyBorder="1" applyAlignment="1" applyProtection="1">
      <alignment horizontal="center" vertical="center" wrapText="1"/>
    </xf>
    <xf numFmtId="0" fontId="9" fillId="3" borderId="7" xfId="0" applyFont="1" applyFill="1" applyBorder="1" applyAlignment="1" applyProtection="1">
      <alignment vertical="center" wrapText="1"/>
    </xf>
    <xf numFmtId="0" fontId="19" fillId="3" borderId="0" xfId="0" applyFont="1" applyFill="1" applyProtection="1"/>
    <xf numFmtId="0" fontId="13" fillId="3" borderId="0" xfId="0" applyNumberFormat="1" applyFont="1" applyFill="1" applyAlignment="1" applyProtection="1">
      <alignment horizontal="left" vertical="top"/>
    </xf>
    <xf numFmtId="0" fontId="9" fillId="4" borderId="1" xfId="0" applyFont="1" applyFill="1" applyBorder="1" applyProtection="1">
      <protection locked="0"/>
    </xf>
    <xf numFmtId="0" fontId="5" fillId="6" borderId="8" xfId="2" applyFont="1" applyFill="1" applyBorder="1" applyAlignment="1" applyProtection="1"/>
    <xf numFmtId="0" fontId="5" fillId="6" borderId="2" xfId="2" applyFont="1" applyFill="1" applyBorder="1" applyAlignment="1" applyProtection="1">
      <alignment horizontal="left" vertical="top"/>
    </xf>
    <xf numFmtId="0" fontId="4" fillId="2" borderId="9" xfId="2" applyFont="1" applyFill="1" applyBorder="1" applyProtection="1"/>
    <xf numFmtId="0" fontId="7" fillId="2" borderId="9" xfId="2" applyFont="1" applyFill="1" applyBorder="1" applyProtection="1"/>
    <xf numFmtId="0" fontId="9" fillId="6" borderId="1" xfId="0" applyFont="1" applyFill="1" applyBorder="1" applyAlignment="1" applyProtection="1">
      <alignment horizontal="left" vertical="center" wrapText="1"/>
    </xf>
    <xf numFmtId="178" fontId="18" fillId="7" borderId="1" xfId="0" applyNumberFormat="1" applyFont="1" applyFill="1" applyBorder="1" applyAlignment="1" applyProtection="1">
      <alignment horizontal="center" vertical="center"/>
    </xf>
    <xf numFmtId="178" fontId="9" fillId="4" borderId="1" xfId="0" applyNumberFormat="1" applyFont="1" applyFill="1" applyBorder="1" applyAlignment="1" applyProtection="1">
      <alignment horizontal="center" vertical="center"/>
      <protection locked="0"/>
    </xf>
    <xf numFmtId="177" fontId="9" fillId="7" borderId="1" xfId="0" applyNumberFormat="1" applyFont="1" applyFill="1" applyBorder="1" applyAlignment="1" applyProtection="1">
      <alignment horizontal="center" vertical="center"/>
    </xf>
    <xf numFmtId="0" fontId="23" fillId="0" borderId="0" xfId="6" applyFont="1" applyAlignment="1" applyProtection="1">
      <alignment vertical="center"/>
    </xf>
    <xf numFmtId="0" fontId="24" fillId="0" borderId="0" xfId="6" applyFont="1" applyAlignment="1" applyProtection="1">
      <alignment vertical="center"/>
      <protection locked="0"/>
    </xf>
    <xf numFmtId="9" fontId="9" fillId="4" borderId="1" xfId="0" applyNumberFormat="1" applyFont="1" applyFill="1" applyBorder="1" applyAlignment="1" applyProtection="1">
      <alignment horizontal="center" vertical="center"/>
      <protection locked="0"/>
    </xf>
    <xf numFmtId="178" fontId="9" fillId="7" borderId="1" xfId="0" applyNumberFormat="1" applyFont="1" applyFill="1" applyBorder="1" applyAlignment="1" applyProtection="1">
      <alignment horizontal="center" vertical="center" wrapText="1"/>
    </xf>
    <xf numFmtId="0" fontId="25" fillId="0" borderId="0" xfId="5" applyFont="1">
      <alignment vertical="center"/>
    </xf>
    <xf numFmtId="0" fontId="9" fillId="0" borderId="0" xfId="0" applyFont="1" applyFill="1" applyBorder="1" applyProtection="1"/>
    <xf numFmtId="178" fontId="9" fillId="0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 vertical="center" wrapText="1"/>
    </xf>
    <xf numFmtId="178" fontId="9" fillId="0" borderId="0" xfId="0" applyNumberFormat="1" applyFont="1" applyFill="1" applyBorder="1" applyAlignment="1" applyProtection="1">
      <alignment horizontal="center" vertical="center"/>
    </xf>
    <xf numFmtId="178" fontId="18" fillId="7" borderId="1" xfId="0" applyNumberFormat="1" applyFont="1" applyFill="1" applyBorder="1" applyAlignment="1" applyProtection="1">
      <alignment horizontal="center" vertical="center" wrapText="1"/>
    </xf>
    <xf numFmtId="0" fontId="0" fillId="4" borderId="10" xfId="0" applyFill="1" applyBorder="1" applyProtection="1"/>
    <xf numFmtId="0" fontId="0" fillId="4" borderId="11" xfId="0" applyFill="1" applyBorder="1" applyProtection="1"/>
    <xf numFmtId="0" fontId="0" fillId="4" borderId="0" xfId="0" applyFill="1" applyBorder="1" applyProtection="1"/>
    <xf numFmtId="0" fontId="0" fillId="4" borderId="12" xfId="0" applyFill="1" applyBorder="1" applyProtection="1"/>
    <xf numFmtId="0" fontId="0" fillId="4" borderId="2" xfId="0" applyFill="1" applyBorder="1" applyProtection="1"/>
    <xf numFmtId="0" fontId="6" fillId="7" borderId="4" xfId="6" applyFill="1" applyBorder="1" applyAlignment="1" applyProtection="1"/>
    <xf numFmtId="0" fontId="6" fillId="7" borderId="1" xfId="6" applyFill="1" applyBorder="1" applyAlignment="1" applyProtection="1"/>
    <xf numFmtId="0" fontId="9" fillId="6" borderId="1" xfId="0" applyFont="1" applyFill="1" applyBorder="1" applyAlignment="1" applyProtection="1">
      <alignment horizontal="center" vertical="center"/>
    </xf>
    <xf numFmtId="177" fontId="9" fillId="7" borderId="1" xfId="0" quotePrefix="1" applyNumberFormat="1" applyFont="1" applyFill="1" applyBorder="1" applyAlignment="1" applyProtection="1">
      <alignment horizontal="center" vertical="center" wrapText="1"/>
    </xf>
    <xf numFmtId="178" fontId="9" fillId="7" borderId="1" xfId="0" quotePrefix="1" applyNumberFormat="1" applyFont="1" applyFill="1" applyBorder="1" applyAlignment="1" applyProtection="1">
      <alignment horizontal="center" vertical="center" wrapText="1"/>
    </xf>
    <xf numFmtId="0" fontId="9" fillId="6" borderId="1" xfId="0" applyFont="1" applyFill="1" applyBorder="1" applyAlignment="1" applyProtection="1">
      <alignment vertical="center"/>
    </xf>
    <xf numFmtId="177" fontId="18" fillId="7" borderId="1" xfId="0" applyNumberFormat="1" applyFont="1" applyFill="1" applyBorder="1" applyAlignment="1" applyProtection="1">
      <alignment horizontal="center" vertical="center" wrapText="1"/>
    </xf>
    <xf numFmtId="0" fontId="22" fillId="6" borderId="5" xfId="0" applyFont="1" applyFill="1" applyBorder="1" applyAlignment="1" applyProtection="1">
      <alignment horizontal="center" vertical="center" wrapText="1"/>
    </xf>
    <xf numFmtId="0" fontId="22" fillId="10" borderId="1" xfId="0" applyFont="1" applyFill="1" applyBorder="1" applyAlignment="1" applyProtection="1">
      <alignment vertical="center" wrapText="1"/>
    </xf>
    <xf numFmtId="178" fontId="20" fillId="7" borderId="1" xfId="0" applyNumberFormat="1" applyFont="1" applyFill="1" applyBorder="1" applyAlignment="1" applyProtection="1">
      <alignment horizontal="center" vertical="center" wrapText="1"/>
    </xf>
    <xf numFmtId="0" fontId="18" fillId="4" borderId="1" xfId="0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vertical="center" wrapText="1"/>
    </xf>
    <xf numFmtId="176" fontId="18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6" borderId="1" xfId="0" applyFont="1" applyFill="1" applyBorder="1" applyAlignment="1" applyProtection="1">
      <alignment horizontal="left" vertical="center" wrapText="1"/>
    </xf>
    <xf numFmtId="0" fontId="26" fillId="6" borderId="1" xfId="0" applyFont="1" applyFill="1" applyBorder="1" applyAlignment="1" applyProtection="1">
      <alignment vertical="center" wrapText="1"/>
    </xf>
    <xf numFmtId="0" fontId="21" fillId="6" borderId="5" xfId="0" applyFont="1" applyFill="1" applyBorder="1" applyAlignment="1" applyProtection="1">
      <alignment horizontal="center" vertical="center" wrapText="1"/>
    </xf>
    <xf numFmtId="0" fontId="27" fillId="2" borderId="1" xfId="7" applyFont="1" applyFill="1" applyBorder="1" applyAlignment="1" applyProtection="1">
      <alignment horizontal="left" wrapText="1"/>
    </xf>
    <xf numFmtId="49" fontId="3" fillId="4" borderId="1" xfId="7" applyNumberFormat="1" applyFont="1" applyFill="1" applyBorder="1" applyAlignment="1" applyProtection="1">
      <alignment wrapText="1"/>
      <protection locked="0"/>
    </xf>
    <xf numFmtId="14" fontId="3" fillId="4" borderId="11" xfId="7" applyNumberFormat="1" applyFont="1" applyFill="1" applyBorder="1" applyAlignment="1" applyProtection="1">
      <alignment horizontal="left" wrapText="1"/>
      <protection locked="0"/>
    </xf>
    <xf numFmtId="49" fontId="3" fillId="4" borderId="1" xfId="7" applyNumberFormat="1" applyFont="1" applyFill="1" applyBorder="1" applyAlignment="1" applyProtection="1">
      <alignment horizontal="center" wrapText="1"/>
      <protection locked="0"/>
    </xf>
    <xf numFmtId="0" fontId="4" fillId="2" borderId="1" xfId="7" applyFont="1" applyFill="1" applyBorder="1" applyAlignment="1" applyProtection="1">
      <alignment horizontal="center" wrapText="1"/>
    </xf>
    <xf numFmtId="0" fontId="3" fillId="4" borderId="1" xfId="7" applyNumberFormat="1" applyFont="1" applyFill="1" applyBorder="1" applyAlignment="1" applyProtection="1">
      <alignment horizontal="left" wrapText="1"/>
      <protection locked="0"/>
    </xf>
    <xf numFmtId="179" fontId="30" fillId="4" borderId="1" xfId="7" applyNumberFormat="1" applyFont="1" applyFill="1" applyBorder="1" applyAlignment="1" applyProtection="1">
      <alignment horizontal="left" wrapText="1"/>
      <protection locked="0"/>
    </xf>
    <xf numFmtId="0" fontId="16" fillId="0" borderId="0" xfId="7" applyFont="1">
      <alignment vertical="center"/>
    </xf>
    <xf numFmtId="179" fontId="16" fillId="0" borderId="0" xfId="7" applyNumberFormat="1" applyFont="1">
      <alignment vertical="center"/>
    </xf>
    <xf numFmtId="179" fontId="32" fillId="2" borderId="1" xfId="7" applyNumberFormat="1" applyFont="1" applyFill="1" applyBorder="1" applyAlignment="1" applyProtection="1">
      <alignment horizontal="center" wrapText="1"/>
    </xf>
    <xf numFmtId="49" fontId="30" fillId="4" borderId="1" xfId="7" applyNumberFormat="1" applyFont="1" applyFill="1" applyBorder="1" applyAlignment="1" applyProtection="1">
      <alignment wrapText="1"/>
      <protection locked="0"/>
    </xf>
    <xf numFmtId="14" fontId="3" fillId="4" borderId="1" xfId="7" applyNumberFormat="1" applyFont="1" applyFill="1" applyBorder="1" applyAlignment="1" applyProtection="1">
      <alignment horizontal="left" wrapText="1"/>
      <protection locked="0"/>
    </xf>
    <xf numFmtId="0" fontId="30" fillId="4" borderId="1" xfId="7" applyNumberFormat="1" applyFont="1" applyFill="1" applyBorder="1" applyAlignment="1" applyProtection="1">
      <alignment horizontal="left" wrapText="1"/>
      <protection locked="0"/>
    </xf>
    <xf numFmtId="179" fontId="30" fillId="4" borderId="1" xfId="7" applyNumberFormat="1" applyFont="1" applyFill="1" applyBorder="1" applyAlignment="1" applyProtection="1">
      <alignment horizontal="center" wrapText="1"/>
      <protection locked="0"/>
    </xf>
    <xf numFmtId="49" fontId="16" fillId="4" borderId="1" xfId="7" applyNumberFormat="1" applyFont="1" applyFill="1" applyBorder="1" applyAlignment="1" applyProtection="1">
      <alignment wrapText="1"/>
      <protection locked="0"/>
    </xf>
    <xf numFmtId="49" fontId="16" fillId="4" borderId="1" xfId="7" applyNumberFormat="1" applyFont="1" applyFill="1" applyBorder="1" applyAlignment="1" applyProtection="1">
      <alignment horizontal="left" wrapText="1"/>
      <protection locked="0"/>
    </xf>
    <xf numFmtId="14" fontId="16" fillId="4" borderId="1" xfId="7" applyNumberFormat="1" applyFont="1" applyFill="1" applyBorder="1" applyAlignment="1" applyProtection="1">
      <alignment horizontal="left" wrapText="1"/>
      <protection locked="0"/>
    </xf>
    <xf numFmtId="0" fontId="16" fillId="4" borderId="1" xfId="7" applyNumberFormat="1" applyFont="1" applyFill="1" applyBorder="1" applyAlignment="1" applyProtection="1">
      <alignment horizontal="left" wrapText="1"/>
      <protection locked="0"/>
    </xf>
    <xf numFmtId="0" fontId="17" fillId="0" borderId="0" xfId="8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4" fillId="0" borderId="0" xfId="6" applyFont="1" applyBorder="1" applyAlignment="1" applyProtection="1">
      <alignment horizontal="center" vertical="center"/>
    </xf>
    <xf numFmtId="49" fontId="0" fillId="0" borderId="0" xfId="0" applyNumberFormat="1" applyBorder="1"/>
    <xf numFmtId="0" fontId="34" fillId="0" borderId="0" xfId="6" applyFont="1" applyAlignment="1" applyProtection="1">
      <alignment horizontal="center"/>
    </xf>
    <xf numFmtId="0" fontId="0" fillId="4" borderId="9" xfId="0" applyFill="1" applyBorder="1" applyAlignment="1" applyProtection="1">
      <protection locked="0"/>
    </xf>
    <xf numFmtId="0" fontId="9" fillId="4" borderId="9" xfId="1" applyFont="1" applyFill="1" applyBorder="1" applyAlignment="1" applyProtection="1">
      <alignment horizontal="left"/>
      <protection locked="0"/>
    </xf>
    <xf numFmtId="0" fontId="3" fillId="4" borderId="10" xfId="1" applyFont="1" applyFill="1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11" fillId="6" borderId="13" xfId="0" applyFont="1" applyFill="1" applyBorder="1" applyAlignment="1" applyProtection="1">
      <alignment horizontal="center"/>
    </xf>
    <xf numFmtId="0" fontId="11" fillId="6" borderId="0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1" fillId="4" borderId="11" xfId="2" applyFill="1" applyBorder="1" applyAlignment="1" applyProtection="1">
      <alignment horizontal="left"/>
      <protection locked="0"/>
    </xf>
    <xf numFmtId="0" fontId="2" fillId="6" borderId="2" xfId="2" applyFont="1" applyFill="1" applyBorder="1" applyAlignment="1" applyProtection="1">
      <alignment horizontal="center"/>
    </xf>
    <xf numFmtId="0" fontId="7" fillId="6" borderId="1" xfId="0" applyFont="1" applyFill="1" applyBorder="1" applyAlignment="1" applyProtection="1">
      <alignment horizontal="left"/>
    </xf>
    <xf numFmtId="0" fontId="0" fillId="6" borderId="1" xfId="0" applyFill="1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23" fillId="2" borderId="1" xfId="6" applyFont="1" applyFill="1" applyBorder="1" applyAlignment="1" applyProtection="1">
      <alignment horizontal="center" vertical="center"/>
    </xf>
    <xf numFmtId="0" fontId="6" fillId="2" borderId="1" xfId="6" applyFill="1" applyBorder="1" applyAlignment="1" applyProtection="1">
      <alignment horizontal="center" vertical="center"/>
    </xf>
    <xf numFmtId="0" fontId="7" fillId="6" borderId="9" xfId="0" applyFont="1" applyFill="1" applyBorder="1" applyAlignment="1" applyProtection="1">
      <alignment horizontal="left"/>
    </xf>
    <xf numFmtId="0" fontId="0" fillId="6" borderId="10" xfId="0" applyFill="1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7" fillId="2" borderId="9" xfId="2" applyFont="1" applyFill="1" applyBorder="1" applyAlignment="1" applyProtection="1">
      <alignment horizontal="left"/>
    </xf>
    <xf numFmtId="0" fontId="7" fillId="2" borderId="11" xfId="2" applyFont="1" applyFill="1" applyBorder="1" applyAlignment="1" applyProtection="1">
      <alignment horizontal="left"/>
    </xf>
    <xf numFmtId="0" fontId="4" fillId="2" borderId="9" xfId="2" applyFont="1" applyFill="1" applyBorder="1" applyAlignment="1" applyProtection="1"/>
    <xf numFmtId="0" fontId="4" fillId="2" borderId="11" xfId="2" applyFont="1" applyFill="1" applyBorder="1" applyAlignment="1" applyProtection="1"/>
    <xf numFmtId="0" fontId="0" fillId="4" borderId="9" xfId="0" applyFill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0" fontId="7" fillId="6" borderId="9" xfId="0" applyFont="1" applyFill="1" applyBorder="1" applyAlignment="1" applyProtection="1">
      <alignment horizontal="center"/>
    </xf>
    <xf numFmtId="0" fontId="4" fillId="6" borderId="10" xfId="0" applyFont="1" applyFill="1" applyBorder="1" applyAlignment="1" applyProtection="1">
      <alignment horizontal="center"/>
    </xf>
    <xf numFmtId="0" fontId="4" fillId="6" borderId="10" xfId="0" applyFont="1" applyFill="1" applyBorder="1" applyAlignment="1"/>
    <xf numFmtId="0" fontId="4" fillId="6" borderId="11" xfId="0" applyFont="1" applyFill="1" applyBorder="1" applyAlignment="1"/>
    <xf numFmtId="0" fontId="4" fillId="2" borderId="9" xfId="0" applyFont="1" applyFill="1" applyBorder="1" applyAlignment="1" applyProtection="1"/>
    <xf numFmtId="0" fontId="4" fillId="2" borderId="10" xfId="0" applyFont="1" applyFill="1" applyBorder="1" applyAlignment="1" applyProtection="1"/>
    <xf numFmtId="0" fontId="4" fillId="2" borderId="11" xfId="0" applyFont="1" applyFill="1" applyBorder="1" applyAlignment="1" applyProtection="1"/>
    <xf numFmtId="0" fontId="0" fillId="4" borderId="10" xfId="0" applyFill="1" applyBorder="1" applyAlignment="1" applyProtection="1">
      <protection locked="0"/>
    </xf>
    <xf numFmtId="0" fontId="0" fillId="4" borderId="11" xfId="0" applyFill="1" applyBorder="1" applyAlignment="1" applyProtection="1">
      <protection locked="0"/>
    </xf>
    <xf numFmtId="0" fontId="9" fillId="4" borderId="9" xfId="0" applyFont="1" applyFill="1" applyBorder="1" applyAlignment="1" applyProtection="1">
      <protection locked="0"/>
    </xf>
    <xf numFmtId="0" fontId="2" fillId="11" borderId="9" xfId="3" applyFont="1" applyFill="1" applyBorder="1" applyAlignment="1" applyProtection="1">
      <alignment horizontal="center"/>
    </xf>
    <xf numFmtId="0" fontId="0" fillId="0" borderId="10" xfId="0" applyBorder="1" applyAlignment="1"/>
    <xf numFmtId="0" fontId="0" fillId="0" borderId="11" xfId="0" applyBorder="1" applyAlignment="1"/>
    <xf numFmtId="0" fontId="7" fillId="11" borderId="9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center" vertical="center"/>
    </xf>
    <xf numFmtId="0" fontId="7" fillId="11" borderId="11" xfId="0" applyFont="1" applyFill="1" applyBorder="1" applyAlignment="1" applyProtection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 vertical="center"/>
    </xf>
    <xf numFmtId="0" fontId="31" fillId="2" borderId="9" xfId="7" applyNumberFormat="1" applyFont="1" applyFill="1" applyBorder="1" applyAlignment="1" applyProtection="1">
      <alignment horizontal="center"/>
    </xf>
    <xf numFmtId="0" fontId="2" fillId="2" borderId="10" xfId="7" applyFont="1" applyFill="1" applyBorder="1" applyAlignment="1">
      <alignment horizontal="center"/>
    </xf>
    <xf numFmtId="0" fontId="2" fillId="2" borderId="11" xfId="7" applyFont="1" applyFill="1" applyBorder="1" applyAlignment="1">
      <alignment horizontal="center"/>
    </xf>
    <xf numFmtId="0" fontId="31" fillId="2" borderId="9" xfId="7" applyFont="1" applyFill="1" applyBorder="1" applyAlignment="1" applyProtection="1">
      <alignment horizontal="center" wrapText="1"/>
    </xf>
    <xf numFmtId="0" fontId="2" fillId="2" borderId="10" xfId="7" applyFont="1" applyFill="1" applyBorder="1" applyAlignment="1" applyProtection="1">
      <alignment horizontal="center" wrapText="1"/>
    </xf>
    <xf numFmtId="0" fontId="2" fillId="2" borderId="11" xfId="7" applyFont="1" applyFill="1" applyBorder="1" applyAlignment="1" applyProtection="1">
      <alignment horizontal="center" wrapText="1"/>
    </xf>
    <xf numFmtId="0" fontId="31" fillId="2" borderId="9" xfId="7" applyNumberFormat="1" applyFont="1" applyFill="1" applyBorder="1" applyAlignment="1" applyProtection="1">
      <alignment horizontal="center" wrapText="1"/>
    </xf>
    <xf numFmtId="0" fontId="2" fillId="2" borderId="11" xfId="7" applyNumberFormat="1" applyFont="1" applyFill="1" applyBorder="1" applyAlignment="1" applyProtection="1">
      <alignment horizontal="center" wrapText="1"/>
    </xf>
    <xf numFmtId="14" fontId="30" fillId="4" borderId="9" xfId="7" applyNumberFormat="1" applyFont="1" applyFill="1" applyBorder="1" applyAlignment="1" applyProtection="1">
      <alignment horizontal="center" wrapText="1"/>
      <protection locked="0"/>
    </xf>
    <xf numFmtId="14" fontId="3" fillId="4" borderId="10" xfId="7" applyNumberFormat="1" applyFont="1" applyFill="1" applyBorder="1" applyAlignment="1" applyProtection="1">
      <alignment horizontal="center" wrapText="1"/>
      <protection locked="0"/>
    </xf>
    <xf numFmtId="14" fontId="3" fillId="4" borderId="11" xfId="7" applyNumberFormat="1" applyFont="1" applyFill="1" applyBorder="1" applyAlignment="1" applyProtection="1">
      <alignment horizontal="center" wrapText="1"/>
      <protection locked="0"/>
    </xf>
    <xf numFmtId="0" fontId="3" fillId="4" borderId="9" xfId="7" applyNumberFormat="1" applyFont="1" applyFill="1" applyBorder="1" applyAlignment="1" applyProtection="1">
      <alignment horizontal="center" wrapText="1"/>
      <protection locked="0"/>
    </xf>
    <xf numFmtId="0" fontId="3" fillId="4" borderId="11" xfId="7" applyNumberFormat="1" applyFont="1" applyFill="1" applyBorder="1" applyAlignment="1" applyProtection="1">
      <alignment horizontal="center" wrapText="1"/>
      <protection locked="0"/>
    </xf>
    <xf numFmtId="14" fontId="3" fillId="4" borderId="9" xfId="7" applyNumberFormat="1" applyFont="1" applyFill="1" applyBorder="1" applyAlignment="1" applyProtection="1">
      <alignment horizontal="center" wrapText="1"/>
      <protection locked="0"/>
    </xf>
    <xf numFmtId="0" fontId="30" fillId="4" borderId="9" xfId="7" applyNumberFormat="1" applyFont="1" applyFill="1" applyBorder="1" applyAlignment="1" applyProtection="1">
      <alignment horizontal="left" wrapText="1"/>
      <protection locked="0"/>
    </xf>
    <xf numFmtId="0" fontId="3" fillId="4" borderId="10" xfId="7" applyNumberFormat="1" applyFont="1" applyFill="1" applyBorder="1" applyAlignment="1" applyProtection="1">
      <alignment horizontal="left" wrapText="1"/>
      <protection locked="0"/>
    </xf>
    <xf numFmtId="0" fontId="3" fillId="4" borderId="11" xfId="7" applyNumberFormat="1" applyFont="1" applyFill="1" applyBorder="1" applyAlignment="1" applyProtection="1">
      <alignment horizontal="left" wrapText="1"/>
      <protection locked="0"/>
    </xf>
    <xf numFmtId="0" fontId="27" fillId="2" borderId="9" xfId="7" applyFont="1" applyFill="1" applyBorder="1" applyAlignment="1" applyProtection="1">
      <alignment horizontal="center" wrapText="1"/>
    </xf>
    <xf numFmtId="0" fontId="4" fillId="0" borderId="11" xfId="0" applyFont="1" applyBorder="1" applyAlignment="1">
      <alignment horizontal="center" wrapText="1"/>
    </xf>
    <xf numFmtId="0" fontId="27" fillId="2" borderId="14" xfId="7" applyFont="1" applyFill="1" applyBorder="1" applyAlignment="1" applyProtection="1">
      <alignment horizontal="center" vertical="center" wrapText="1"/>
    </xf>
    <xf numFmtId="0" fontId="4" fillId="2" borderId="4" xfId="7" applyFont="1" applyFill="1" applyBorder="1" applyAlignment="1" applyProtection="1">
      <alignment horizontal="center" vertical="center" wrapText="1"/>
    </xf>
    <xf numFmtId="0" fontId="4" fillId="2" borderId="15" xfId="7" applyFont="1" applyFill="1" applyBorder="1" applyAlignment="1" applyProtection="1">
      <alignment horizontal="center" vertical="center" wrapText="1"/>
    </xf>
    <xf numFmtId="179" fontId="30" fillId="4" borderId="9" xfId="7" applyNumberFormat="1" applyFont="1" applyFill="1" applyBorder="1" applyAlignment="1" applyProtection="1">
      <alignment horizontal="left" wrapText="1"/>
      <protection locked="0"/>
    </xf>
    <xf numFmtId="179" fontId="3" fillId="4" borderId="10" xfId="7" applyNumberFormat="1" applyFont="1" applyFill="1" applyBorder="1" applyAlignment="1" applyProtection="1">
      <alignment horizontal="left" wrapText="1"/>
      <protection locked="0"/>
    </xf>
    <xf numFmtId="179" fontId="3" fillId="4" borderId="11" xfId="7" applyNumberFormat="1" applyFont="1" applyFill="1" applyBorder="1" applyAlignment="1" applyProtection="1">
      <alignment horizontal="left" wrapText="1"/>
      <protection locked="0"/>
    </xf>
    <xf numFmtId="0" fontId="9" fillId="0" borderId="0" xfId="0" applyFont="1" applyAlignment="1"/>
    <xf numFmtId="0" fontId="8" fillId="6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Alignment="1"/>
    <xf numFmtId="0" fontId="0" fillId="4" borderId="9" xfId="0" applyFill="1" applyBorder="1" applyAlignment="1" applyProtection="1">
      <alignment wrapText="1"/>
      <protection locked="0"/>
    </xf>
    <xf numFmtId="0" fontId="9" fillId="4" borderId="9" xfId="0" applyFont="1" applyFill="1" applyBorder="1" applyAlignment="1" applyProtection="1">
      <alignment wrapText="1"/>
      <protection locked="0"/>
    </xf>
    <xf numFmtId="0" fontId="0" fillId="4" borderId="9" xfId="2" applyFont="1" applyFill="1" applyBorder="1" applyAlignment="1" applyProtection="1">
      <alignment horizontal="left"/>
      <protection locked="0"/>
    </xf>
    <xf numFmtId="0" fontId="9" fillId="4" borderId="9" xfId="2" applyFont="1" applyFill="1" applyBorder="1" applyAlignment="1" applyProtection="1">
      <alignment horizontal="left"/>
      <protection locked="0"/>
    </xf>
  </cellXfs>
  <cellStyles count="9">
    <cellStyle name="Normal_Time_Sheet_Project_30" xfId="1"/>
    <cellStyle name="Normal_Time_Sheet_Project_30_FIN 项目测试估计模板(FIN)" xfId="2"/>
    <cellStyle name="Normal_Time_Sheet_Project_30_复件 FIN 测试项目测试估计模板" xfId="3"/>
    <cellStyle name="常规" xfId="0" builtinId="0"/>
    <cellStyle name="常规 2" xfId="8"/>
    <cellStyle name="常规_PCM03F01-Product Access Control List Form" xfId="7"/>
    <cellStyle name="常规_sheet" xfId="4"/>
    <cellStyle name="常规_sheet_1" xfId="5"/>
    <cellStyle name="超链接" xfId="6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4</xdr:row>
      <xdr:rowOff>0</xdr:rowOff>
    </xdr:from>
    <xdr:to>
      <xdr:col>0</xdr:col>
      <xdr:colOff>1085850</xdr:colOff>
      <xdr:row>4</xdr:row>
      <xdr:rowOff>0</xdr:rowOff>
    </xdr:to>
    <xdr:sp macro="" textlink="">
      <xdr:nvSpPr>
        <xdr:cNvPr id="23583" name="AutoShape 31"/>
        <xdr:cNvSpPr>
          <a:spLocks noChangeArrowheads="1"/>
        </xdr:cNvSpPr>
      </xdr:nvSpPr>
      <xdr:spPr bwMode="auto">
        <a:xfrm>
          <a:off x="1057275" y="866775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0</xdr:col>
      <xdr:colOff>552450</xdr:colOff>
      <xdr:row>2</xdr:row>
      <xdr:rowOff>47625</xdr:rowOff>
    </xdr:to>
    <xdr:pic>
      <xdr:nvPicPr>
        <xdr:cNvPr id="23591" name="Picture 39" descr="华为LOGO文件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542925" cy="5524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596" name="DtsShapeName"/>
        <xdr:cNvSpPr>
          <a:spLocks noChangeArrowheads="1"/>
        </xdr:cNvSpPr>
      </xdr:nvSpPr>
      <xdr:spPr bwMode="auto">
        <a:xfrm>
          <a:off x="0" y="0"/>
          <a:ext cx="0" cy="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20</xdr:row>
          <xdr:rowOff>114300</xdr:rowOff>
        </xdr:from>
        <xdr:to>
          <xdr:col>1</xdr:col>
          <xdr:colOff>666750</xdr:colOff>
          <xdr:row>22</xdr:row>
          <xdr:rowOff>57150</xdr:rowOff>
        </xdr:to>
        <xdr:sp macro="" textlink="">
          <xdr:nvSpPr>
            <xdr:cNvPr id="23592" name="CBAddMod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20</xdr:row>
          <xdr:rowOff>114300</xdr:rowOff>
        </xdr:from>
        <xdr:to>
          <xdr:col>1</xdr:col>
          <xdr:colOff>1333500</xdr:colOff>
          <xdr:row>22</xdr:row>
          <xdr:rowOff>57150</xdr:rowOff>
        </xdr:to>
        <xdr:sp macro="" textlink="">
          <xdr:nvSpPr>
            <xdr:cNvPr id="23594" name="CBDelMod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1025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7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495300</xdr:colOff>
      <xdr:row>2</xdr:row>
      <xdr:rowOff>38100</xdr:rowOff>
    </xdr:to>
    <xdr:pic>
      <xdr:nvPicPr>
        <xdr:cNvPr id="1026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5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30</xdr:col>
      <xdr:colOff>495300</xdr:colOff>
      <xdr:row>2</xdr:row>
      <xdr:rowOff>38100</xdr:rowOff>
    </xdr:to>
    <xdr:pic>
      <xdr:nvPicPr>
        <xdr:cNvPr id="1027" name="Picture 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3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0</xdr:colOff>
      <xdr:row>0</xdr:row>
      <xdr:rowOff>0</xdr:rowOff>
    </xdr:from>
    <xdr:to>
      <xdr:col>38</xdr:col>
      <xdr:colOff>495300</xdr:colOff>
      <xdr:row>2</xdr:row>
      <xdr:rowOff>38100</xdr:rowOff>
    </xdr:to>
    <xdr:pic>
      <xdr:nvPicPr>
        <xdr:cNvPr id="1028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50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46</xdr:col>
      <xdr:colOff>0</xdr:colOff>
      <xdr:row>0</xdr:row>
      <xdr:rowOff>0</xdr:rowOff>
    </xdr:from>
    <xdr:to>
      <xdr:col>46</xdr:col>
      <xdr:colOff>495300</xdr:colOff>
      <xdr:row>2</xdr:row>
      <xdr:rowOff>38100</xdr:rowOff>
    </xdr:to>
    <xdr:pic>
      <xdr:nvPicPr>
        <xdr:cNvPr id="1029" name="Picture 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384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0</xdr:colOff>
      <xdr:row>0</xdr:row>
      <xdr:rowOff>0</xdr:rowOff>
    </xdr:from>
    <xdr:to>
      <xdr:col>54</xdr:col>
      <xdr:colOff>495300</xdr:colOff>
      <xdr:row>2</xdr:row>
      <xdr:rowOff>38100</xdr:rowOff>
    </xdr:to>
    <xdr:pic>
      <xdr:nvPicPr>
        <xdr:cNvPr id="1030" name="Picture 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261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62</xdr:col>
      <xdr:colOff>0</xdr:colOff>
      <xdr:row>0</xdr:row>
      <xdr:rowOff>0</xdr:rowOff>
    </xdr:from>
    <xdr:to>
      <xdr:col>62</xdr:col>
      <xdr:colOff>495300</xdr:colOff>
      <xdr:row>2</xdr:row>
      <xdr:rowOff>38100</xdr:rowOff>
    </xdr:to>
    <xdr:pic>
      <xdr:nvPicPr>
        <xdr:cNvPr id="1031" name="Picture 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138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70</xdr:col>
      <xdr:colOff>0</xdr:colOff>
      <xdr:row>0</xdr:row>
      <xdr:rowOff>0</xdr:rowOff>
    </xdr:from>
    <xdr:to>
      <xdr:col>70</xdr:col>
      <xdr:colOff>495300</xdr:colOff>
      <xdr:row>2</xdr:row>
      <xdr:rowOff>38100</xdr:rowOff>
    </xdr:to>
    <xdr:pic>
      <xdr:nvPicPr>
        <xdr:cNvPr id="1032" name="Picture 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015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78</xdr:col>
      <xdr:colOff>0</xdr:colOff>
      <xdr:row>0</xdr:row>
      <xdr:rowOff>0</xdr:rowOff>
    </xdr:from>
    <xdr:to>
      <xdr:col>78</xdr:col>
      <xdr:colOff>495300</xdr:colOff>
      <xdr:row>2</xdr:row>
      <xdr:rowOff>38100</xdr:rowOff>
    </xdr:to>
    <xdr:pic>
      <xdr:nvPicPr>
        <xdr:cNvPr id="1033" name="Picture 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892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0</xdr:colOff>
      <xdr:row>0</xdr:row>
      <xdr:rowOff>0</xdr:rowOff>
    </xdr:from>
    <xdr:to>
      <xdr:col>86</xdr:col>
      <xdr:colOff>495300</xdr:colOff>
      <xdr:row>2</xdr:row>
      <xdr:rowOff>38100</xdr:rowOff>
    </xdr:to>
    <xdr:pic>
      <xdr:nvPicPr>
        <xdr:cNvPr id="1034" name="Picture 1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768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94</xdr:col>
      <xdr:colOff>0</xdr:colOff>
      <xdr:row>0</xdr:row>
      <xdr:rowOff>0</xdr:rowOff>
    </xdr:from>
    <xdr:to>
      <xdr:col>94</xdr:col>
      <xdr:colOff>495300</xdr:colOff>
      <xdr:row>2</xdr:row>
      <xdr:rowOff>38100</xdr:rowOff>
    </xdr:to>
    <xdr:pic>
      <xdr:nvPicPr>
        <xdr:cNvPr id="1035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645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102</xdr:col>
      <xdr:colOff>0</xdr:colOff>
      <xdr:row>0</xdr:row>
      <xdr:rowOff>0</xdr:rowOff>
    </xdr:from>
    <xdr:to>
      <xdr:col>102</xdr:col>
      <xdr:colOff>495300</xdr:colOff>
      <xdr:row>2</xdr:row>
      <xdr:rowOff>38100</xdr:rowOff>
    </xdr:to>
    <xdr:pic>
      <xdr:nvPicPr>
        <xdr:cNvPr id="1036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522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110</xdr:col>
      <xdr:colOff>0</xdr:colOff>
      <xdr:row>0</xdr:row>
      <xdr:rowOff>0</xdr:rowOff>
    </xdr:from>
    <xdr:to>
      <xdr:col>110</xdr:col>
      <xdr:colOff>495300</xdr:colOff>
      <xdr:row>2</xdr:row>
      <xdr:rowOff>38100</xdr:rowOff>
    </xdr:to>
    <xdr:pic>
      <xdr:nvPicPr>
        <xdr:cNvPr id="1037" name="Picture 1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399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118</xdr:col>
      <xdr:colOff>0</xdr:colOff>
      <xdr:row>0</xdr:row>
      <xdr:rowOff>0</xdr:rowOff>
    </xdr:from>
    <xdr:to>
      <xdr:col>118</xdr:col>
      <xdr:colOff>495300</xdr:colOff>
      <xdr:row>2</xdr:row>
      <xdr:rowOff>38100</xdr:rowOff>
    </xdr:to>
    <xdr:pic>
      <xdr:nvPicPr>
        <xdr:cNvPr id="1038" name="Picture 1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76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126</xdr:col>
      <xdr:colOff>0</xdr:colOff>
      <xdr:row>0</xdr:row>
      <xdr:rowOff>0</xdr:rowOff>
    </xdr:from>
    <xdr:to>
      <xdr:col>126</xdr:col>
      <xdr:colOff>495300</xdr:colOff>
      <xdr:row>2</xdr:row>
      <xdr:rowOff>38100</xdr:rowOff>
    </xdr:to>
    <xdr:pic>
      <xdr:nvPicPr>
        <xdr:cNvPr id="1039" name="Picture 1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52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134</xdr:col>
      <xdr:colOff>0</xdr:colOff>
      <xdr:row>0</xdr:row>
      <xdr:rowOff>0</xdr:rowOff>
    </xdr:from>
    <xdr:to>
      <xdr:col>134</xdr:col>
      <xdr:colOff>495300</xdr:colOff>
      <xdr:row>2</xdr:row>
      <xdr:rowOff>38100</xdr:rowOff>
    </xdr:to>
    <xdr:pic>
      <xdr:nvPicPr>
        <xdr:cNvPr id="1040" name="Picture 1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29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142</xdr:col>
      <xdr:colOff>0</xdr:colOff>
      <xdr:row>0</xdr:row>
      <xdr:rowOff>0</xdr:rowOff>
    </xdr:from>
    <xdr:to>
      <xdr:col>142</xdr:col>
      <xdr:colOff>495300</xdr:colOff>
      <xdr:row>2</xdr:row>
      <xdr:rowOff>38100</xdr:rowOff>
    </xdr:to>
    <xdr:pic>
      <xdr:nvPicPr>
        <xdr:cNvPr id="1041" name="Picture 1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906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150</xdr:col>
      <xdr:colOff>0</xdr:colOff>
      <xdr:row>0</xdr:row>
      <xdr:rowOff>0</xdr:rowOff>
    </xdr:from>
    <xdr:to>
      <xdr:col>150</xdr:col>
      <xdr:colOff>495300</xdr:colOff>
      <xdr:row>2</xdr:row>
      <xdr:rowOff>38100</xdr:rowOff>
    </xdr:to>
    <xdr:pic>
      <xdr:nvPicPr>
        <xdr:cNvPr id="1042" name="Picture 1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83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158</xdr:col>
      <xdr:colOff>0</xdr:colOff>
      <xdr:row>0</xdr:row>
      <xdr:rowOff>0</xdr:rowOff>
    </xdr:from>
    <xdr:to>
      <xdr:col>158</xdr:col>
      <xdr:colOff>495300</xdr:colOff>
      <xdr:row>2</xdr:row>
      <xdr:rowOff>38100</xdr:rowOff>
    </xdr:to>
    <xdr:pic>
      <xdr:nvPicPr>
        <xdr:cNvPr id="1043" name="Picture 1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660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166</xdr:col>
      <xdr:colOff>0</xdr:colOff>
      <xdr:row>0</xdr:row>
      <xdr:rowOff>0</xdr:rowOff>
    </xdr:from>
    <xdr:to>
      <xdr:col>166</xdr:col>
      <xdr:colOff>495300</xdr:colOff>
      <xdr:row>2</xdr:row>
      <xdr:rowOff>38100</xdr:rowOff>
    </xdr:to>
    <xdr:pic>
      <xdr:nvPicPr>
        <xdr:cNvPr id="1044" name="Picture 2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536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174</xdr:col>
      <xdr:colOff>0</xdr:colOff>
      <xdr:row>0</xdr:row>
      <xdr:rowOff>0</xdr:rowOff>
    </xdr:from>
    <xdr:to>
      <xdr:col>174</xdr:col>
      <xdr:colOff>495300</xdr:colOff>
      <xdr:row>2</xdr:row>
      <xdr:rowOff>38100</xdr:rowOff>
    </xdr:to>
    <xdr:pic>
      <xdr:nvPicPr>
        <xdr:cNvPr id="1045" name="Picture 2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413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182</xdr:col>
      <xdr:colOff>0</xdr:colOff>
      <xdr:row>0</xdr:row>
      <xdr:rowOff>0</xdr:rowOff>
    </xdr:from>
    <xdr:to>
      <xdr:col>182</xdr:col>
      <xdr:colOff>495300</xdr:colOff>
      <xdr:row>2</xdr:row>
      <xdr:rowOff>38100</xdr:rowOff>
    </xdr:to>
    <xdr:pic>
      <xdr:nvPicPr>
        <xdr:cNvPr id="1046" name="Picture 2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290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190</xdr:col>
      <xdr:colOff>0</xdr:colOff>
      <xdr:row>0</xdr:row>
      <xdr:rowOff>0</xdr:rowOff>
    </xdr:from>
    <xdr:to>
      <xdr:col>190</xdr:col>
      <xdr:colOff>495300</xdr:colOff>
      <xdr:row>2</xdr:row>
      <xdr:rowOff>38100</xdr:rowOff>
    </xdr:to>
    <xdr:pic>
      <xdr:nvPicPr>
        <xdr:cNvPr id="1047" name="Picture 2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167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198</xdr:col>
      <xdr:colOff>0</xdr:colOff>
      <xdr:row>0</xdr:row>
      <xdr:rowOff>0</xdr:rowOff>
    </xdr:from>
    <xdr:to>
      <xdr:col>198</xdr:col>
      <xdr:colOff>495300</xdr:colOff>
      <xdr:row>2</xdr:row>
      <xdr:rowOff>38100</xdr:rowOff>
    </xdr:to>
    <xdr:pic>
      <xdr:nvPicPr>
        <xdr:cNvPr id="1048" name="Picture 2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044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206</xdr:col>
      <xdr:colOff>0</xdr:colOff>
      <xdr:row>0</xdr:row>
      <xdr:rowOff>0</xdr:rowOff>
    </xdr:from>
    <xdr:to>
      <xdr:col>206</xdr:col>
      <xdr:colOff>495300</xdr:colOff>
      <xdr:row>2</xdr:row>
      <xdr:rowOff>38100</xdr:rowOff>
    </xdr:to>
    <xdr:pic>
      <xdr:nvPicPr>
        <xdr:cNvPr id="1049" name="Picture 2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920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214</xdr:col>
      <xdr:colOff>0</xdr:colOff>
      <xdr:row>0</xdr:row>
      <xdr:rowOff>0</xdr:rowOff>
    </xdr:from>
    <xdr:to>
      <xdr:col>214</xdr:col>
      <xdr:colOff>495300</xdr:colOff>
      <xdr:row>2</xdr:row>
      <xdr:rowOff>38100</xdr:rowOff>
    </xdr:to>
    <xdr:pic>
      <xdr:nvPicPr>
        <xdr:cNvPr id="1050" name="Picture 2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79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222</xdr:col>
      <xdr:colOff>0</xdr:colOff>
      <xdr:row>0</xdr:row>
      <xdr:rowOff>0</xdr:rowOff>
    </xdr:from>
    <xdr:to>
      <xdr:col>222</xdr:col>
      <xdr:colOff>495300</xdr:colOff>
      <xdr:row>2</xdr:row>
      <xdr:rowOff>38100</xdr:rowOff>
    </xdr:to>
    <xdr:pic>
      <xdr:nvPicPr>
        <xdr:cNvPr id="1051" name="Picture 2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67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230</xdr:col>
      <xdr:colOff>0</xdr:colOff>
      <xdr:row>0</xdr:row>
      <xdr:rowOff>0</xdr:rowOff>
    </xdr:from>
    <xdr:to>
      <xdr:col>230</xdr:col>
      <xdr:colOff>495300</xdr:colOff>
      <xdr:row>2</xdr:row>
      <xdr:rowOff>38100</xdr:rowOff>
    </xdr:to>
    <xdr:pic>
      <xdr:nvPicPr>
        <xdr:cNvPr id="1052" name="Picture 2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5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238</xdr:col>
      <xdr:colOff>0</xdr:colOff>
      <xdr:row>0</xdr:row>
      <xdr:rowOff>0</xdr:rowOff>
    </xdr:from>
    <xdr:to>
      <xdr:col>238</xdr:col>
      <xdr:colOff>495300</xdr:colOff>
      <xdr:row>2</xdr:row>
      <xdr:rowOff>38100</xdr:rowOff>
    </xdr:to>
    <xdr:pic>
      <xdr:nvPicPr>
        <xdr:cNvPr id="1053" name="Picture 2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842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246</xdr:col>
      <xdr:colOff>0</xdr:colOff>
      <xdr:row>0</xdr:row>
      <xdr:rowOff>0</xdr:rowOff>
    </xdr:from>
    <xdr:to>
      <xdr:col>246</xdr:col>
      <xdr:colOff>495300</xdr:colOff>
      <xdr:row>2</xdr:row>
      <xdr:rowOff>38100</xdr:rowOff>
    </xdr:to>
    <xdr:pic>
      <xdr:nvPicPr>
        <xdr:cNvPr id="1054" name="Picture 3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04875" y="0"/>
          <a:ext cx="495300" cy="476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1057275</xdr:colOff>
      <xdr:row>0</xdr:row>
      <xdr:rowOff>0</xdr:rowOff>
    </xdr:from>
    <xdr:to>
      <xdr:col>0</xdr:col>
      <xdr:colOff>1085850</xdr:colOff>
      <xdr:row>0</xdr:row>
      <xdr:rowOff>0</xdr:rowOff>
    </xdr:to>
    <xdr:sp macro="" textlink="">
      <xdr:nvSpPr>
        <xdr:cNvPr id="1055" name="AutoShape 31"/>
        <xdr:cNvSpPr>
          <a:spLocks noChangeArrowheads="1"/>
        </xdr:cNvSpPr>
      </xdr:nvSpPr>
      <xdr:spPr bwMode="auto">
        <a:xfrm>
          <a:off x="1057275" y="0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200025</xdr:colOff>
      <xdr:row>0</xdr:row>
      <xdr:rowOff>0</xdr:rowOff>
    </xdr:to>
    <xdr:sp macro="" textlink="">
      <xdr:nvSpPr>
        <xdr:cNvPr id="1073" name="AutoShape 49"/>
        <xdr:cNvSpPr>
          <a:spLocks noChangeArrowheads="1"/>
        </xdr:cNvSpPr>
      </xdr:nvSpPr>
      <xdr:spPr bwMode="auto">
        <a:xfrm>
          <a:off x="28575" y="0"/>
          <a:ext cx="17145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3" name="AutoShape 1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4" name="AutoShape 2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5" name="AutoShape 3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6" name="AutoShape 4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43077" name="AutoShape 5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8" name="AutoShape 6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79" name="AutoShape 7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0" name="AutoShape 8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1" name="AutoShape 9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643082" name="AutoShape 10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7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495300</xdr:colOff>
      <xdr:row>2</xdr:row>
      <xdr:rowOff>38100</xdr:rowOff>
    </xdr:to>
    <xdr:pic>
      <xdr:nvPicPr>
        <xdr:cNvPr id="3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5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30</xdr:col>
      <xdr:colOff>495300</xdr:colOff>
      <xdr:row>2</xdr:row>
      <xdr:rowOff>38100</xdr:rowOff>
    </xdr:to>
    <xdr:pic>
      <xdr:nvPicPr>
        <xdr:cNvPr id="4" name="Picture 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3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0</xdr:colOff>
      <xdr:row>0</xdr:row>
      <xdr:rowOff>0</xdr:rowOff>
    </xdr:from>
    <xdr:to>
      <xdr:col>38</xdr:col>
      <xdr:colOff>495300</xdr:colOff>
      <xdr:row>2</xdr:row>
      <xdr:rowOff>38100</xdr:rowOff>
    </xdr:to>
    <xdr:pic>
      <xdr:nvPicPr>
        <xdr:cNvPr id="5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50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46</xdr:col>
      <xdr:colOff>0</xdr:colOff>
      <xdr:row>0</xdr:row>
      <xdr:rowOff>0</xdr:rowOff>
    </xdr:from>
    <xdr:to>
      <xdr:col>46</xdr:col>
      <xdr:colOff>495300</xdr:colOff>
      <xdr:row>2</xdr:row>
      <xdr:rowOff>38100</xdr:rowOff>
    </xdr:to>
    <xdr:pic>
      <xdr:nvPicPr>
        <xdr:cNvPr id="6" name="Picture 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384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0</xdr:colOff>
      <xdr:row>0</xdr:row>
      <xdr:rowOff>0</xdr:rowOff>
    </xdr:from>
    <xdr:to>
      <xdr:col>54</xdr:col>
      <xdr:colOff>495300</xdr:colOff>
      <xdr:row>2</xdr:row>
      <xdr:rowOff>38100</xdr:rowOff>
    </xdr:to>
    <xdr:pic>
      <xdr:nvPicPr>
        <xdr:cNvPr id="7" name="Picture 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261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62</xdr:col>
      <xdr:colOff>0</xdr:colOff>
      <xdr:row>0</xdr:row>
      <xdr:rowOff>0</xdr:rowOff>
    </xdr:from>
    <xdr:to>
      <xdr:col>62</xdr:col>
      <xdr:colOff>495300</xdr:colOff>
      <xdr:row>2</xdr:row>
      <xdr:rowOff>38100</xdr:rowOff>
    </xdr:to>
    <xdr:pic>
      <xdr:nvPicPr>
        <xdr:cNvPr id="8" name="Picture 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138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70</xdr:col>
      <xdr:colOff>0</xdr:colOff>
      <xdr:row>0</xdr:row>
      <xdr:rowOff>0</xdr:rowOff>
    </xdr:from>
    <xdr:to>
      <xdr:col>70</xdr:col>
      <xdr:colOff>495300</xdr:colOff>
      <xdr:row>2</xdr:row>
      <xdr:rowOff>38100</xdr:rowOff>
    </xdr:to>
    <xdr:pic>
      <xdr:nvPicPr>
        <xdr:cNvPr id="9" name="Picture 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015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78</xdr:col>
      <xdr:colOff>0</xdr:colOff>
      <xdr:row>0</xdr:row>
      <xdr:rowOff>0</xdr:rowOff>
    </xdr:from>
    <xdr:to>
      <xdr:col>78</xdr:col>
      <xdr:colOff>495300</xdr:colOff>
      <xdr:row>2</xdr:row>
      <xdr:rowOff>38100</xdr:rowOff>
    </xdr:to>
    <xdr:pic>
      <xdr:nvPicPr>
        <xdr:cNvPr id="10" name="Picture 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892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0</xdr:colOff>
      <xdr:row>0</xdr:row>
      <xdr:rowOff>0</xdr:rowOff>
    </xdr:from>
    <xdr:to>
      <xdr:col>86</xdr:col>
      <xdr:colOff>495300</xdr:colOff>
      <xdr:row>2</xdr:row>
      <xdr:rowOff>38100</xdr:rowOff>
    </xdr:to>
    <xdr:pic>
      <xdr:nvPicPr>
        <xdr:cNvPr id="11" name="Picture 1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768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94</xdr:col>
      <xdr:colOff>0</xdr:colOff>
      <xdr:row>0</xdr:row>
      <xdr:rowOff>0</xdr:rowOff>
    </xdr:from>
    <xdr:to>
      <xdr:col>94</xdr:col>
      <xdr:colOff>495300</xdr:colOff>
      <xdr:row>2</xdr:row>
      <xdr:rowOff>38100</xdr:rowOff>
    </xdr:to>
    <xdr:pic>
      <xdr:nvPicPr>
        <xdr:cNvPr id="12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645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102</xdr:col>
      <xdr:colOff>0</xdr:colOff>
      <xdr:row>0</xdr:row>
      <xdr:rowOff>0</xdr:rowOff>
    </xdr:from>
    <xdr:to>
      <xdr:col>102</xdr:col>
      <xdr:colOff>495300</xdr:colOff>
      <xdr:row>2</xdr:row>
      <xdr:rowOff>38100</xdr:rowOff>
    </xdr:to>
    <xdr:pic>
      <xdr:nvPicPr>
        <xdr:cNvPr id="13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522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110</xdr:col>
      <xdr:colOff>0</xdr:colOff>
      <xdr:row>0</xdr:row>
      <xdr:rowOff>0</xdr:rowOff>
    </xdr:from>
    <xdr:to>
      <xdr:col>110</xdr:col>
      <xdr:colOff>495300</xdr:colOff>
      <xdr:row>2</xdr:row>
      <xdr:rowOff>38100</xdr:rowOff>
    </xdr:to>
    <xdr:pic>
      <xdr:nvPicPr>
        <xdr:cNvPr id="14" name="Picture 1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399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118</xdr:col>
      <xdr:colOff>0</xdr:colOff>
      <xdr:row>0</xdr:row>
      <xdr:rowOff>0</xdr:rowOff>
    </xdr:from>
    <xdr:to>
      <xdr:col>118</xdr:col>
      <xdr:colOff>495300</xdr:colOff>
      <xdr:row>2</xdr:row>
      <xdr:rowOff>38100</xdr:rowOff>
    </xdr:to>
    <xdr:pic>
      <xdr:nvPicPr>
        <xdr:cNvPr id="15" name="Picture 1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76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126</xdr:col>
      <xdr:colOff>0</xdr:colOff>
      <xdr:row>0</xdr:row>
      <xdr:rowOff>0</xdr:rowOff>
    </xdr:from>
    <xdr:to>
      <xdr:col>126</xdr:col>
      <xdr:colOff>495300</xdr:colOff>
      <xdr:row>2</xdr:row>
      <xdr:rowOff>38100</xdr:rowOff>
    </xdr:to>
    <xdr:pic>
      <xdr:nvPicPr>
        <xdr:cNvPr id="16" name="Picture 1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52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134</xdr:col>
      <xdr:colOff>0</xdr:colOff>
      <xdr:row>0</xdr:row>
      <xdr:rowOff>0</xdr:rowOff>
    </xdr:from>
    <xdr:to>
      <xdr:col>134</xdr:col>
      <xdr:colOff>495300</xdr:colOff>
      <xdr:row>2</xdr:row>
      <xdr:rowOff>38100</xdr:rowOff>
    </xdr:to>
    <xdr:pic>
      <xdr:nvPicPr>
        <xdr:cNvPr id="17" name="Picture 1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29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142</xdr:col>
      <xdr:colOff>0</xdr:colOff>
      <xdr:row>0</xdr:row>
      <xdr:rowOff>0</xdr:rowOff>
    </xdr:from>
    <xdr:to>
      <xdr:col>142</xdr:col>
      <xdr:colOff>495300</xdr:colOff>
      <xdr:row>2</xdr:row>
      <xdr:rowOff>38100</xdr:rowOff>
    </xdr:to>
    <xdr:pic>
      <xdr:nvPicPr>
        <xdr:cNvPr id="18" name="Picture 1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906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150</xdr:col>
      <xdr:colOff>0</xdr:colOff>
      <xdr:row>0</xdr:row>
      <xdr:rowOff>0</xdr:rowOff>
    </xdr:from>
    <xdr:to>
      <xdr:col>150</xdr:col>
      <xdr:colOff>495300</xdr:colOff>
      <xdr:row>2</xdr:row>
      <xdr:rowOff>38100</xdr:rowOff>
    </xdr:to>
    <xdr:pic>
      <xdr:nvPicPr>
        <xdr:cNvPr id="19" name="Picture 1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83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158</xdr:col>
      <xdr:colOff>0</xdr:colOff>
      <xdr:row>0</xdr:row>
      <xdr:rowOff>0</xdr:rowOff>
    </xdr:from>
    <xdr:to>
      <xdr:col>158</xdr:col>
      <xdr:colOff>495300</xdr:colOff>
      <xdr:row>2</xdr:row>
      <xdr:rowOff>38100</xdr:rowOff>
    </xdr:to>
    <xdr:pic>
      <xdr:nvPicPr>
        <xdr:cNvPr id="20" name="Picture 1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660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166</xdr:col>
      <xdr:colOff>0</xdr:colOff>
      <xdr:row>0</xdr:row>
      <xdr:rowOff>0</xdr:rowOff>
    </xdr:from>
    <xdr:to>
      <xdr:col>166</xdr:col>
      <xdr:colOff>495300</xdr:colOff>
      <xdr:row>2</xdr:row>
      <xdr:rowOff>38100</xdr:rowOff>
    </xdr:to>
    <xdr:pic>
      <xdr:nvPicPr>
        <xdr:cNvPr id="21" name="Picture 2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536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174</xdr:col>
      <xdr:colOff>0</xdr:colOff>
      <xdr:row>0</xdr:row>
      <xdr:rowOff>0</xdr:rowOff>
    </xdr:from>
    <xdr:to>
      <xdr:col>174</xdr:col>
      <xdr:colOff>495300</xdr:colOff>
      <xdr:row>2</xdr:row>
      <xdr:rowOff>38100</xdr:rowOff>
    </xdr:to>
    <xdr:pic>
      <xdr:nvPicPr>
        <xdr:cNvPr id="22" name="Picture 2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413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182</xdr:col>
      <xdr:colOff>0</xdr:colOff>
      <xdr:row>0</xdr:row>
      <xdr:rowOff>0</xdr:rowOff>
    </xdr:from>
    <xdr:to>
      <xdr:col>182</xdr:col>
      <xdr:colOff>495300</xdr:colOff>
      <xdr:row>2</xdr:row>
      <xdr:rowOff>38100</xdr:rowOff>
    </xdr:to>
    <xdr:pic>
      <xdr:nvPicPr>
        <xdr:cNvPr id="23" name="Picture 2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290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190</xdr:col>
      <xdr:colOff>0</xdr:colOff>
      <xdr:row>0</xdr:row>
      <xdr:rowOff>0</xdr:rowOff>
    </xdr:from>
    <xdr:to>
      <xdr:col>190</xdr:col>
      <xdr:colOff>495300</xdr:colOff>
      <xdr:row>2</xdr:row>
      <xdr:rowOff>38100</xdr:rowOff>
    </xdr:to>
    <xdr:pic>
      <xdr:nvPicPr>
        <xdr:cNvPr id="24" name="Picture 2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167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198</xdr:col>
      <xdr:colOff>0</xdr:colOff>
      <xdr:row>0</xdr:row>
      <xdr:rowOff>0</xdr:rowOff>
    </xdr:from>
    <xdr:to>
      <xdr:col>198</xdr:col>
      <xdr:colOff>495300</xdr:colOff>
      <xdr:row>2</xdr:row>
      <xdr:rowOff>38100</xdr:rowOff>
    </xdr:to>
    <xdr:pic>
      <xdr:nvPicPr>
        <xdr:cNvPr id="25" name="Picture 2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044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206</xdr:col>
      <xdr:colOff>0</xdr:colOff>
      <xdr:row>0</xdr:row>
      <xdr:rowOff>0</xdr:rowOff>
    </xdr:from>
    <xdr:to>
      <xdr:col>206</xdr:col>
      <xdr:colOff>495300</xdr:colOff>
      <xdr:row>2</xdr:row>
      <xdr:rowOff>38100</xdr:rowOff>
    </xdr:to>
    <xdr:pic>
      <xdr:nvPicPr>
        <xdr:cNvPr id="26" name="Picture 2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920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214</xdr:col>
      <xdr:colOff>0</xdr:colOff>
      <xdr:row>0</xdr:row>
      <xdr:rowOff>0</xdr:rowOff>
    </xdr:from>
    <xdr:to>
      <xdr:col>214</xdr:col>
      <xdr:colOff>495300</xdr:colOff>
      <xdr:row>2</xdr:row>
      <xdr:rowOff>38100</xdr:rowOff>
    </xdr:to>
    <xdr:pic>
      <xdr:nvPicPr>
        <xdr:cNvPr id="27" name="Picture 2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79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222</xdr:col>
      <xdr:colOff>0</xdr:colOff>
      <xdr:row>0</xdr:row>
      <xdr:rowOff>0</xdr:rowOff>
    </xdr:from>
    <xdr:to>
      <xdr:col>222</xdr:col>
      <xdr:colOff>495300</xdr:colOff>
      <xdr:row>2</xdr:row>
      <xdr:rowOff>38100</xdr:rowOff>
    </xdr:to>
    <xdr:pic>
      <xdr:nvPicPr>
        <xdr:cNvPr id="28" name="Picture 2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67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230</xdr:col>
      <xdr:colOff>0</xdr:colOff>
      <xdr:row>0</xdr:row>
      <xdr:rowOff>0</xdr:rowOff>
    </xdr:from>
    <xdr:to>
      <xdr:col>230</xdr:col>
      <xdr:colOff>495300</xdr:colOff>
      <xdr:row>2</xdr:row>
      <xdr:rowOff>38100</xdr:rowOff>
    </xdr:to>
    <xdr:pic>
      <xdr:nvPicPr>
        <xdr:cNvPr id="29" name="Picture 2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5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238</xdr:col>
      <xdr:colOff>0</xdr:colOff>
      <xdr:row>0</xdr:row>
      <xdr:rowOff>0</xdr:rowOff>
    </xdr:from>
    <xdr:to>
      <xdr:col>238</xdr:col>
      <xdr:colOff>495300</xdr:colOff>
      <xdr:row>2</xdr:row>
      <xdr:rowOff>38100</xdr:rowOff>
    </xdr:to>
    <xdr:pic>
      <xdr:nvPicPr>
        <xdr:cNvPr id="30" name="Picture 2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842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246</xdr:col>
      <xdr:colOff>0</xdr:colOff>
      <xdr:row>0</xdr:row>
      <xdr:rowOff>0</xdr:rowOff>
    </xdr:from>
    <xdr:to>
      <xdr:col>246</xdr:col>
      <xdr:colOff>495300</xdr:colOff>
      <xdr:row>2</xdr:row>
      <xdr:rowOff>38100</xdr:rowOff>
    </xdr:to>
    <xdr:pic>
      <xdr:nvPicPr>
        <xdr:cNvPr id="31" name="Picture 3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04875" y="0"/>
          <a:ext cx="495300" cy="476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1057275</xdr:colOff>
      <xdr:row>0</xdr:row>
      <xdr:rowOff>0</xdr:rowOff>
    </xdr:from>
    <xdr:to>
      <xdr:col>0</xdr:col>
      <xdr:colOff>1085850</xdr:colOff>
      <xdr:row>0</xdr:row>
      <xdr:rowOff>0</xdr:rowOff>
    </xdr:to>
    <xdr:sp macro="" textlink="">
      <xdr:nvSpPr>
        <xdr:cNvPr id="32" name="AutoShape 31"/>
        <xdr:cNvSpPr>
          <a:spLocks noChangeArrowheads="1"/>
        </xdr:cNvSpPr>
      </xdr:nvSpPr>
      <xdr:spPr bwMode="auto">
        <a:xfrm>
          <a:off x="1057275" y="0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200025</xdr:colOff>
      <xdr:row>0</xdr:row>
      <xdr:rowOff>0</xdr:rowOff>
    </xdr:to>
    <xdr:sp macro="" textlink="">
      <xdr:nvSpPr>
        <xdr:cNvPr id="33" name="AutoShape 49"/>
        <xdr:cNvSpPr>
          <a:spLocks noChangeArrowheads="1"/>
        </xdr:cNvSpPr>
      </xdr:nvSpPr>
      <xdr:spPr bwMode="auto">
        <a:xfrm>
          <a:off x="28575" y="0"/>
          <a:ext cx="17145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5" name="AutoShape 4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" name="AutoShape 5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7" name="AutoShape 6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8" name="AutoShape 7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9" name="AutoShape 8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10" name="AutoShape 9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11" name="AutoShape 10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87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495300</xdr:colOff>
      <xdr:row>2</xdr:row>
      <xdr:rowOff>38100</xdr:rowOff>
    </xdr:to>
    <xdr:pic>
      <xdr:nvPicPr>
        <xdr:cNvPr id="3" name="Picture 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5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30</xdr:col>
      <xdr:colOff>0</xdr:colOff>
      <xdr:row>0</xdr:row>
      <xdr:rowOff>0</xdr:rowOff>
    </xdr:from>
    <xdr:to>
      <xdr:col>30</xdr:col>
      <xdr:colOff>495300</xdr:colOff>
      <xdr:row>2</xdr:row>
      <xdr:rowOff>38100</xdr:rowOff>
    </xdr:to>
    <xdr:pic>
      <xdr:nvPicPr>
        <xdr:cNvPr id="4" name="Picture 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63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0</xdr:colOff>
      <xdr:row>0</xdr:row>
      <xdr:rowOff>0</xdr:rowOff>
    </xdr:from>
    <xdr:to>
      <xdr:col>38</xdr:col>
      <xdr:colOff>495300</xdr:colOff>
      <xdr:row>2</xdr:row>
      <xdr:rowOff>38100</xdr:rowOff>
    </xdr:to>
    <xdr:pic>
      <xdr:nvPicPr>
        <xdr:cNvPr id="5" name="Picture 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50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46</xdr:col>
      <xdr:colOff>0</xdr:colOff>
      <xdr:row>0</xdr:row>
      <xdr:rowOff>0</xdr:rowOff>
    </xdr:from>
    <xdr:to>
      <xdr:col>46</xdr:col>
      <xdr:colOff>495300</xdr:colOff>
      <xdr:row>2</xdr:row>
      <xdr:rowOff>38100</xdr:rowOff>
    </xdr:to>
    <xdr:pic>
      <xdr:nvPicPr>
        <xdr:cNvPr id="6" name="Picture 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384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0</xdr:colOff>
      <xdr:row>0</xdr:row>
      <xdr:rowOff>0</xdr:rowOff>
    </xdr:from>
    <xdr:to>
      <xdr:col>54</xdr:col>
      <xdr:colOff>495300</xdr:colOff>
      <xdr:row>2</xdr:row>
      <xdr:rowOff>38100</xdr:rowOff>
    </xdr:to>
    <xdr:pic>
      <xdr:nvPicPr>
        <xdr:cNvPr id="7" name="Picture 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261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62</xdr:col>
      <xdr:colOff>0</xdr:colOff>
      <xdr:row>0</xdr:row>
      <xdr:rowOff>0</xdr:rowOff>
    </xdr:from>
    <xdr:to>
      <xdr:col>62</xdr:col>
      <xdr:colOff>495300</xdr:colOff>
      <xdr:row>2</xdr:row>
      <xdr:rowOff>38100</xdr:rowOff>
    </xdr:to>
    <xdr:pic>
      <xdr:nvPicPr>
        <xdr:cNvPr id="8" name="Picture 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138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70</xdr:col>
      <xdr:colOff>0</xdr:colOff>
      <xdr:row>0</xdr:row>
      <xdr:rowOff>0</xdr:rowOff>
    </xdr:from>
    <xdr:to>
      <xdr:col>70</xdr:col>
      <xdr:colOff>495300</xdr:colOff>
      <xdr:row>2</xdr:row>
      <xdr:rowOff>38100</xdr:rowOff>
    </xdr:to>
    <xdr:pic>
      <xdr:nvPicPr>
        <xdr:cNvPr id="9" name="Picture 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6015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78</xdr:col>
      <xdr:colOff>0</xdr:colOff>
      <xdr:row>0</xdr:row>
      <xdr:rowOff>0</xdr:rowOff>
    </xdr:from>
    <xdr:to>
      <xdr:col>78</xdr:col>
      <xdr:colOff>495300</xdr:colOff>
      <xdr:row>2</xdr:row>
      <xdr:rowOff>38100</xdr:rowOff>
    </xdr:to>
    <xdr:pic>
      <xdr:nvPicPr>
        <xdr:cNvPr id="10" name="Picture 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892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0</xdr:colOff>
      <xdr:row>0</xdr:row>
      <xdr:rowOff>0</xdr:rowOff>
    </xdr:from>
    <xdr:to>
      <xdr:col>86</xdr:col>
      <xdr:colOff>495300</xdr:colOff>
      <xdr:row>2</xdr:row>
      <xdr:rowOff>38100</xdr:rowOff>
    </xdr:to>
    <xdr:pic>
      <xdr:nvPicPr>
        <xdr:cNvPr id="11" name="Picture 1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768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94</xdr:col>
      <xdr:colOff>0</xdr:colOff>
      <xdr:row>0</xdr:row>
      <xdr:rowOff>0</xdr:rowOff>
    </xdr:from>
    <xdr:to>
      <xdr:col>94</xdr:col>
      <xdr:colOff>495300</xdr:colOff>
      <xdr:row>2</xdr:row>
      <xdr:rowOff>38100</xdr:rowOff>
    </xdr:to>
    <xdr:pic>
      <xdr:nvPicPr>
        <xdr:cNvPr id="12" name="Picture 1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645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102</xdr:col>
      <xdr:colOff>0</xdr:colOff>
      <xdr:row>0</xdr:row>
      <xdr:rowOff>0</xdr:rowOff>
    </xdr:from>
    <xdr:to>
      <xdr:col>102</xdr:col>
      <xdr:colOff>495300</xdr:colOff>
      <xdr:row>2</xdr:row>
      <xdr:rowOff>38100</xdr:rowOff>
    </xdr:to>
    <xdr:pic>
      <xdr:nvPicPr>
        <xdr:cNvPr id="13" name="Picture 1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522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110</xdr:col>
      <xdr:colOff>0</xdr:colOff>
      <xdr:row>0</xdr:row>
      <xdr:rowOff>0</xdr:rowOff>
    </xdr:from>
    <xdr:to>
      <xdr:col>110</xdr:col>
      <xdr:colOff>495300</xdr:colOff>
      <xdr:row>2</xdr:row>
      <xdr:rowOff>38100</xdr:rowOff>
    </xdr:to>
    <xdr:pic>
      <xdr:nvPicPr>
        <xdr:cNvPr id="14" name="Picture 1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399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118</xdr:col>
      <xdr:colOff>0</xdr:colOff>
      <xdr:row>0</xdr:row>
      <xdr:rowOff>0</xdr:rowOff>
    </xdr:from>
    <xdr:to>
      <xdr:col>118</xdr:col>
      <xdr:colOff>495300</xdr:colOff>
      <xdr:row>2</xdr:row>
      <xdr:rowOff>38100</xdr:rowOff>
    </xdr:to>
    <xdr:pic>
      <xdr:nvPicPr>
        <xdr:cNvPr id="15" name="Picture 1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276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126</xdr:col>
      <xdr:colOff>0</xdr:colOff>
      <xdr:row>0</xdr:row>
      <xdr:rowOff>0</xdr:rowOff>
    </xdr:from>
    <xdr:to>
      <xdr:col>126</xdr:col>
      <xdr:colOff>495300</xdr:colOff>
      <xdr:row>2</xdr:row>
      <xdr:rowOff>38100</xdr:rowOff>
    </xdr:to>
    <xdr:pic>
      <xdr:nvPicPr>
        <xdr:cNvPr id="16" name="Picture 1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52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134</xdr:col>
      <xdr:colOff>0</xdr:colOff>
      <xdr:row>0</xdr:row>
      <xdr:rowOff>0</xdr:rowOff>
    </xdr:from>
    <xdr:to>
      <xdr:col>134</xdr:col>
      <xdr:colOff>495300</xdr:colOff>
      <xdr:row>2</xdr:row>
      <xdr:rowOff>38100</xdr:rowOff>
    </xdr:to>
    <xdr:pic>
      <xdr:nvPicPr>
        <xdr:cNvPr id="17" name="Picture 1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029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142</xdr:col>
      <xdr:colOff>0</xdr:colOff>
      <xdr:row>0</xdr:row>
      <xdr:rowOff>0</xdr:rowOff>
    </xdr:from>
    <xdr:to>
      <xdr:col>142</xdr:col>
      <xdr:colOff>495300</xdr:colOff>
      <xdr:row>2</xdr:row>
      <xdr:rowOff>38100</xdr:rowOff>
    </xdr:to>
    <xdr:pic>
      <xdr:nvPicPr>
        <xdr:cNvPr id="18" name="Picture 1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906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150</xdr:col>
      <xdr:colOff>0</xdr:colOff>
      <xdr:row>0</xdr:row>
      <xdr:rowOff>0</xdr:rowOff>
    </xdr:from>
    <xdr:to>
      <xdr:col>150</xdr:col>
      <xdr:colOff>495300</xdr:colOff>
      <xdr:row>2</xdr:row>
      <xdr:rowOff>38100</xdr:rowOff>
    </xdr:to>
    <xdr:pic>
      <xdr:nvPicPr>
        <xdr:cNvPr id="19" name="Picture 1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783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158</xdr:col>
      <xdr:colOff>0</xdr:colOff>
      <xdr:row>0</xdr:row>
      <xdr:rowOff>0</xdr:rowOff>
    </xdr:from>
    <xdr:to>
      <xdr:col>158</xdr:col>
      <xdr:colOff>495300</xdr:colOff>
      <xdr:row>2</xdr:row>
      <xdr:rowOff>38100</xdr:rowOff>
    </xdr:to>
    <xdr:pic>
      <xdr:nvPicPr>
        <xdr:cNvPr id="20" name="Picture 1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660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166</xdr:col>
      <xdr:colOff>0</xdr:colOff>
      <xdr:row>0</xdr:row>
      <xdr:rowOff>0</xdr:rowOff>
    </xdr:from>
    <xdr:to>
      <xdr:col>166</xdr:col>
      <xdr:colOff>495300</xdr:colOff>
      <xdr:row>2</xdr:row>
      <xdr:rowOff>38100</xdr:rowOff>
    </xdr:to>
    <xdr:pic>
      <xdr:nvPicPr>
        <xdr:cNvPr id="21" name="Picture 2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536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174</xdr:col>
      <xdr:colOff>0</xdr:colOff>
      <xdr:row>0</xdr:row>
      <xdr:rowOff>0</xdr:rowOff>
    </xdr:from>
    <xdr:to>
      <xdr:col>174</xdr:col>
      <xdr:colOff>495300</xdr:colOff>
      <xdr:row>2</xdr:row>
      <xdr:rowOff>38100</xdr:rowOff>
    </xdr:to>
    <xdr:pic>
      <xdr:nvPicPr>
        <xdr:cNvPr id="22" name="Picture 2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413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182</xdr:col>
      <xdr:colOff>0</xdr:colOff>
      <xdr:row>0</xdr:row>
      <xdr:rowOff>0</xdr:rowOff>
    </xdr:from>
    <xdr:to>
      <xdr:col>182</xdr:col>
      <xdr:colOff>495300</xdr:colOff>
      <xdr:row>2</xdr:row>
      <xdr:rowOff>38100</xdr:rowOff>
    </xdr:to>
    <xdr:pic>
      <xdr:nvPicPr>
        <xdr:cNvPr id="23" name="Picture 22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290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190</xdr:col>
      <xdr:colOff>0</xdr:colOff>
      <xdr:row>0</xdr:row>
      <xdr:rowOff>0</xdr:rowOff>
    </xdr:from>
    <xdr:to>
      <xdr:col>190</xdr:col>
      <xdr:colOff>495300</xdr:colOff>
      <xdr:row>2</xdr:row>
      <xdr:rowOff>38100</xdr:rowOff>
    </xdr:to>
    <xdr:pic>
      <xdr:nvPicPr>
        <xdr:cNvPr id="24" name="Picture 23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167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198</xdr:col>
      <xdr:colOff>0</xdr:colOff>
      <xdr:row>0</xdr:row>
      <xdr:rowOff>0</xdr:rowOff>
    </xdr:from>
    <xdr:to>
      <xdr:col>198</xdr:col>
      <xdr:colOff>495300</xdr:colOff>
      <xdr:row>2</xdr:row>
      <xdr:rowOff>38100</xdr:rowOff>
    </xdr:to>
    <xdr:pic>
      <xdr:nvPicPr>
        <xdr:cNvPr id="25" name="Picture 24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044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206</xdr:col>
      <xdr:colOff>0</xdr:colOff>
      <xdr:row>0</xdr:row>
      <xdr:rowOff>0</xdr:rowOff>
    </xdr:from>
    <xdr:to>
      <xdr:col>206</xdr:col>
      <xdr:colOff>495300</xdr:colOff>
      <xdr:row>2</xdr:row>
      <xdr:rowOff>38100</xdr:rowOff>
    </xdr:to>
    <xdr:pic>
      <xdr:nvPicPr>
        <xdr:cNvPr id="26" name="Picture 25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89208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214</xdr:col>
      <xdr:colOff>0</xdr:colOff>
      <xdr:row>0</xdr:row>
      <xdr:rowOff>0</xdr:rowOff>
    </xdr:from>
    <xdr:to>
      <xdr:col>214</xdr:col>
      <xdr:colOff>495300</xdr:colOff>
      <xdr:row>2</xdr:row>
      <xdr:rowOff>38100</xdr:rowOff>
    </xdr:to>
    <xdr:pic>
      <xdr:nvPicPr>
        <xdr:cNvPr id="27" name="Picture 26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7976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222</xdr:col>
      <xdr:colOff>0</xdr:colOff>
      <xdr:row>0</xdr:row>
      <xdr:rowOff>0</xdr:rowOff>
    </xdr:from>
    <xdr:to>
      <xdr:col>222</xdr:col>
      <xdr:colOff>495300</xdr:colOff>
      <xdr:row>2</xdr:row>
      <xdr:rowOff>38100</xdr:rowOff>
    </xdr:to>
    <xdr:pic>
      <xdr:nvPicPr>
        <xdr:cNvPr id="28" name="Picture 27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6744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230</xdr:col>
      <xdr:colOff>0</xdr:colOff>
      <xdr:row>0</xdr:row>
      <xdr:rowOff>0</xdr:rowOff>
    </xdr:from>
    <xdr:to>
      <xdr:col>230</xdr:col>
      <xdr:colOff>495300</xdr:colOff>
      <xdr:row>2</xdr:row>
      <xdr:rowOff>38100</xdr:rowOff>
    </xdr:to>
    <xdr:pic>
      <xdr:nvPicPr>
        <xdr:cNvPr id="29" name="Picture 28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35512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238</xdr:col>
      <xdr:colOff>0</xdr:colOff>
      <xdr:row>0</xdr:row>
      <xdr:rowOff>0</xdr:rowOff>
    </xdr:from>
    <xdr:to>
      <xdr:col>238</xdr:col>
      <xdr:colOff>495300</xdr:colOff>
      <xdr:row>2</xdr:row>
      <xdr:rowOff>38100</xdr:rowOff>
    </xdr:to>
    <xdr:pic>
      <xdr:nvPicPr>
        <xdr:cNvPr id="30" name="Picture 29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8428075" y="0"/>
          <a:ext cx="495300" cy="476250"/>
        </a:xfrm>
        <a:prstGeom prst="rect">
          <a:avLst/>
        </a:prstGeom>
        <a:noFill/>
      </xdr:spPr>
    </xdr:pic>
    <xdr:clientData/>
  </xdr:twoCellAnchor>
  <xdr:twoCellAnchor editAs="oneCell">
    <xdr:from>
      <xdr:col>246</xdr:col>
      <xdr:colOff>0</xdr:colOff>
      <xdr:row>0</xdr:row>
      <xdr:rowOff>0</xdr:rowOff>
    </xdr:from>
    <xdr:to>
      <xdr:col>246</xdr:col>
      <xdr:colOff>495300</xdr:colOff>
      <xdr:row>2</xdr:row>
      <xdr:rowOff>38100</xdr:rowOff>
    </xdr:to>
    <xdr:pic>
      <xdr:nvPicPr>
        <xdr:cNvPr id="31" name="Picture 30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04875" y="0"/>
          <a:ext cx="495300" cy="476250"/>
        </a:xfrm>
        <a:prstGeom prst="rect">
          <a:avLst/>
        </a:prstGeom>
        <a:noFill/>
      </xdr:spPr>
    </xdr:pic>
    <xdr:clientData/>
  </xdr:twoCellAnchor>
  <xdr:twoCellAnchor>
    <xdr:from>
      <xdr:col>0</xdr:col>
      <xdr:colOff>1057275</xdr:colOff>
      <xdr:row>0</xdr:row>
      <xdr:rowOff>0</xdr:rowOff>
    </xdr:from>
    <xdr:to>
      <xdr:col>0</xdr:col>
      <xdr:colOff>1085850</xdr:colOff>
      <xdr:row>0</xdr:row>
      <xdr:rowOff>0</xdr:rowOff>
    </xdr:to>
    <xdr:sp macro="" textlink="">
      <xdr:nvSpPr>
        <xdr:cNvPr id="32" name="AutoShape 31"/>
        <xdr:cNvSpPr>
          <a:spLocks noChangeArrowheads="1"/>
        </xdr:cNvSpPr>
      </xdr:nvSpPr>
      <xdr:spPr bwMode="auto">
        <a:xfrm>
          <a:off x="1057275" y="0"/>
          <a:ext cx="2857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200025</xdr:colOff>
      <xdr:row>0</xdr:row>
      <xdr:rowOff>0</xdr:rowOff>
    </xdr:to>
    <xdr:sp macro="" textlink="">
      <xdr:nvSpPr>
        <xdr:cNvPr id="33" name="AutoShape 49"/>
        <xdr:cNvSpPr>
          <a:spLocks noChangeArrowheads="1"/>
        </xdr:cNvSpPr>
      </xdr:nvSpPr>
      <xdr:spPr bwMode="auto">
        <a:xfrm>
          <a:off x="28575" y="0"/>
          <a:ext cx="17145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5" name="AutoShape 4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1057275</xdr:colOff>
      <xdr:row>2</xdr:row>
      <xdr:rowOff>0</xdr:rowOff>
    </xdr:from>
    <xdr:to>
      <xdr:col>0</xdr:col>
      <xdr:colOff>1066800</xdr:colOff>
      <xdr:row>2</xdr:row>
      <xdr:rowOff>0</xdr:rowOff>
    </xdr:to>
    <xdr:sp macro="" textlink="">
      <xdr:nvSpPr>
        <xdr:cNvPr id="6" name="AutoShape 5"/>
        <xdr:cNvSpPr>
          <a:spLocks noChangeArrowheads="1"/>
        </xdr:cNvSpPr>
      </xdr:nvSpPr>
      <xdr:spPr bwMode="auto">
        <a:xfrm>
          <a:off x="1057275" y="361950"/>
          <a:ext cx="9525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7" name="AutoShape 6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8" name="AutoShape 7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9" name="AutoShape 8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10" name="AutoShape 9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1057275</xdr:colOff>
      <xdr:row>2</xdr:row>
      <xdr:rowOff>0</xdr:rowOff>
    </xdr:from>
    <xdr:to>
      <xdr:col>1</xdr:col>
      <xdr:colOff>609600</xdr:colOff>
      <xdr:row>2</xdr:row>
      <xdr:rowOff>0</xdr:rowOff>
    </xdr:to>
    <xdr:sp macro="" textlink="">
      <xdr:nvSpPr>
        <xdr:cNvPr id="11" name="AutoShape 10"/>
        <xdr:cNvSpPr>
          <a:spLocks noChangeArrowheads="1"/>
        </xdr:cNvSpPr>
      </xdr:nvSpPr>
      <xdr:spPr bwMode="auto">
        <a:xfrm>
          <a:off x="2857500" y="361950"/>
          <a:ext cx="0" cy="0"/>
        </a:xfrm>
        <a:prstGeom prst="star4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1657350</xdr:colOff>
          <xdr:row>0</xdr:row>
          <xdr:rowOff>133350</xdr:rowOff>
        </xdr:from>
        <xdr:to>
          <xdr:col>2</xdr:col>
          <xdr:colOff>942975</xdr:colOff>
          <xdr:row>2</xdr:row>
          <xdr:rowOff>85725</xdr:rowOff>
        </xdr:to>
        <xdr:sp macro="" textlink="">
          <xdr:nvSpPr>
            <xdr:cNvPr id="21521" name="RefreshFormula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5</xdr:row>
      <xdr:rowOff>19050</xdr:rowOff>
    </xdr:from>
    <xdr:to>
      <xdr:col>8</xdr:col>
      <xdr:colOff>590550</xdr:colOff>
      <xdr:row>13</xdr:row>
      <xdr:rowOff>104775</xdr:rowOff>
    </xdr:to>
    <xdr:sp macro="" textlink="">
      <xdr:nvSpPr>
        <xdr:cNvPr id="2" name="Text Box 1" descr="10%"/>
        <xdr:cNvSpPr txBox="1">
          <a:spLocks noChangeArrowheads="1"/>
        </xdr:cNvSpPr>
      </xdr:nvSpPr>
      <xdr:spPr bwMode="auto">
        <a:xfrm>
          <a:off x="114300" y="1038225"/>
          <a:ext cx="8486775" cy="1533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《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测试估计表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》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可以协助测试项目经理完成测试工作量的估计工作，共有如下几个主要表单：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0. Info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测试项目的基本信息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输入估计特性列表，包括估计特性名称及说明。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输入估计特性的用例规模值，包括最大值、最可能值和最小值。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输入测试方案、测试用例的效率基线数据，得到模板的测试工作量。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4. TotalEffort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各模块的测试工作量自动进行汇总，得到整个项目的测试工作量。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5.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帮助：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		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进入帮助页面。</a:t>
          </a:r>
        </a:p>
      </xdr:txBody>
    </xdr:sp>
    <xdr:clientData/>
  </xdr:twoCellAnchor>
  <xdr:twoCellAnchor>
    <xdr:from>
      <xdr:col>0</xdr:col>
      <xdr:colOff>104773</xdr:colOff>
      <xdr:row>15</xdr:row>
      <xdr:rowOff>9525</xdr:rowOff>
    </xdr:from>
    <xdr:to>
      <xdr:col>8</xdr:col>
      <xdr:colOff>571500</xdr:colOff>
      <xdr:row>40</xdr:row>
      <xdr:rowOff>66675</xdr:rowOff>
    </xdr:to>
    <xdr:sp macro="" textlink="">
      <xdr:nvSpPr>
        <xdr:cNvPr id="3" name="Text Box 2" descr="10%"/>
        <xdr:cNvSpPr txBox="1">
          <a:spLocks noChangeArrowheads="1"/>
        </xdr:cNvSpPr>
      </xdr:nvSpPr>
      <xdr:spPr bwMode="auto">
        <a:xfrm>
          <a:off x="104773" y="2838450"/>
          <a:ext cx="8477252" cy="4581525"/>
        </a:xfrm>
        <a:prstGeom prst="rect">
          <a:avLst/>
        </a:prstGeom>
        <a:pattFill prst="pct10">
          <a:fgClr>
            <a:srgbClr val="CC99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0. Info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配置模块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首先“启用宏”；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b.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点击“增加”按钮，在弹出对话框中输入自定义的模块名称，在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Excel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工作簿中将自动生成三个工作表：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 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_Funclist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_Est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、模块名称</a:t>
          </a:r>
          <a:r>
            <a:rPr lang="en-US" altLang="zh-CN" sz="1000" b="0" i="1" u="none" strike="noStrike" baseline="0">
              <a:solidFill>
                <a:srgbClr val="000000"/>
              </a:solidFill>
              <a:latin typeface="宋体"/>
              <a:ea typeface="+mn-ea"/>
            </a:rPr>
            <a:t>_Effort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；</a:t>
          </a:r>
          <a:r>
            <a:rPr lang="zh-CN" altLang="en-US" sz="1000" b="0" i="0" u="none" strike="noStrike" baseline="0">
              <a:solidFill>
                <a:sysClr val="windowText" lastClr="000000"/>
              </a:solidFill>
              <a:latin typeface="宋体"/>
              <a:ea typeface="+mn-ea"/>
            </a:rPr>
            <a:t>（当存在不同效率数据时，需要创建多个模块。）</a:t>
          </a:r>
          <a:endParaRPr lang="en-US" altLang="zh-CN" sz="1000" b="0" i="0" u="none" strike="noStrike" baseline="0">
            <a:solidFill>
              <a:sysClr val="windowText" lastClr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c.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点击“删除”按钮，在弹出对话框中，从下拉框选择需要删除的模板名称，点击“确定”即删除与该模板相关的三个工作表。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1. x_FuncList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特性名称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子特性的划分是为了得到合适粒度的估计单元，从而更准确的进行估计；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说明  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a.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对特性的说明有助于估计人员对估计内容的理解，并对估计范围达成一致；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当估计特性的粒度超过规定的要求、且不可再拆分时，“说明”中除了要给出特性本身的描述外，还需要给出特殊情况说明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（包括特性拆分时的特殊性、及具体的估算方法）；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+mn-e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+mn-ea"/>
            </a:rPr>
            <a:t>） 如果测试用例规模是根据代码行、及代码行与用例个数的换算关系得来，则不涉及特性拆分，在“说明”中需记录代码行数、及换算系数。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FF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2. x_Est</a:t>
          </a:r>
          <a:endParaRPr lang="zh-CN" altLang="en-US" sz="1000" b="1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采用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Pert Sizing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估计方法，给出每个特性的估计规模值，包括最小值、最可能值、最大值；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如果是上述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中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）情况，则直接填入换算后的用例个数，三个值相同。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3. x_Effort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输入效率数据，包括“用例方案比例”、“测试方案设计效率”（如无方案则不填写），“测试用例设计效率”，“测试用例执行效率”；      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根据规模与效率数据得出相应活动的工作量。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输入“继承用例规模”，只产生用例执行工作量；（新增用例规模将产生用例设计工作量和用例执行工作量）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SDV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测试用例执行覆盖度”，在计算用例执行工作量时根据实际执行的用例来计算；</a:t>
          </a:r>
          <a:endParaRPr lang="en-US" altLang="zh-CN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4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输入“代码行”，自动计算“测试用例密度”。</a:t>
          </a:r>
          <a:endParaRPr lang="zh-CN" altLang="en-US" sz="1000" b="0" i="0" u="none" strike="noStrike" baseline="0">
            <a:solidFill>
              <a:srgbClr val="0000FF"/>
            </a:solidFill>
            <a:latin typeface="宋体"/>
            <a:ea typeface="宋体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zh-CN" altLang="en-US" sz="1000" b="0" i="0" u="none" strike="noStrike" baseline="0">
              <a:solidFill>
                <a:srgbClr val="800080"/>
              </a:solidFill>
              <a:latin typeface="宋体"/>
              <a:ea typeface="宋体"/>
            </a:rPr>
            <a:t>    </a:t>
          </a:r>
          <a:r>
            <a:rPr lang="en-US" altLang="zh-CN" sz="1000" b="1" i="0" u="none" strike="noStrike" baseline="0">
              <a:solidFill>
                <a:srgbClr val="000000"/>
              </a:solidFill>
              <a:latin typeface="宋体"/>
              <a:ea typeface="+mn-ea"/>
            </a:rPr>
            <a:t>4. TotalEffort</a:t>
          </a:r>
          <a:endParaRPr lang="zh-CN" altLang="en-US" sz="10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输入“测试效率”，自动产生“按测试效率计算工作量”，该值仅供参考，不作为最终计算测试工作量的依据；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2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 允许在估计值的基础上进行手工调整，调整工作量不能超过按特性预估工作量的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10%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；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  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3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zh-CN" altLang="zh-CN" sz="1000" b="0" i="0" baseline="0">
              <a:latin typeface="+mn-lt"/>
              <a:ea typeface="+mn-ea"/>
              <a:cs typeface="+mn-cs"/>
            </a:rPr>
            <a:t>“测试总工作量”为最终测试工作量的估计结果</a:t>
          </a:r>
          <a:r>
            <a:rPr lang="zh-CN" altLang="en-US" sz="1000" b="0" i="0" baseline="0">
              <a:latin typeface="+mn-lt"/>
              <a:ea typeface="+mn-ea"/>
              <a:cs typeface="+mn-cs"/>
            </a:rPr>
            <a:t>。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6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1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8.xml"/><Relationship Id="rId4" Type="http://schemas.openxmlformats.org/officeDocument/2006/relationships/vmlDrawing" Target="../drawings/vmlDrawing1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0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3"/>
  <sheetViews>
    <sheetView showGridLines="0" workbookViewId="0">
      <selection activeCell="K12" sqref="K12"/>
    </sheetView>
  </sheetViews>
  <sheetFormatPr defaultRowHeight="12.75"/>
  <cols>
    <col min="1" max="1" width="18" style="1" customWidth="1"/>
    <col min="2" max="2" width="20.85546875" style="1" customWidth="1"/>
    <col min="3" max="3" width="9.28515625" style="1" customWidth="1"/>
    <col min="4" max="4" width="9.140625" style="1"/>
    <col min="5" max="5" width="10.28515625" style="1" customWidth="1"/>
    <col min="6" max="7" width="10" style="1" customWidth="1"/>
    <col min="8" max="16384" width="9.140625" style="1"/>
  </cols>
  <sheetData>
    <row r="1" spans="1:8" ht="21.75" customHeight="1">
      <c r="A1" s="111" t="s">
        <v>107</v>
      </c>
      <c r="B1" s="112"/>
      <c r="C1" s="112"/>
      <c r="D1" s="112"/>
      <c r="E1" s="112"/>
      <c r="F1" s="112"/>
      <c r="G1" s="113"/>
      <c r="H1" s="113"/>
    </row>
    <row r="2" spans="1:8" ht="18">
      <c r="A2" s="111"/>
      <c r="B2" s="112"/>
      <c r="C2" s="112"/>
      <c r="D2" s="112"/>
      <c r="E2" s="112"/>
      <c r="F2" s="112"/>
      <c r="G2" s="113"/>
      <c r="H2" s="113"/>
    </row>
    <row r="3" spans="1:8">
      <c r="A3" s="43" t="s">
        <v>43</v>
      </c>
      <c r="B3" s="44"/>
      <c r="C3" s="14"/>
      <c r="D3" s="14"/>
      <c r="E3" s="14"/>
      <c r="F3" s="14"/>
      <c r="G3" s="14"/>
      <c r="H3" s="14"/>
    </row>
    <row r="4" spans="1:8" ht="15.75">
      <c r="A4" s="115" t="s">
        <v>44</v>
      </c>
      <c r="B4" s="115"/>
      <c r="C4" s="115"/>
      <c r="D4" s="115"/>
      <c r="E4" s="115"/>
      <c r="F4" s="115"/>
      <c r="G4" s="115"/>
      <c r="H4" s="115"/>
    </row>
    <row r="5" spans="1:8">
      <c r="A5" s="45" t="s">
        <v>104</v>
      </c>
      <c r="B5" s="184" t="s">
        <v>175</v>
      </c>
      <c r="C5" s="114"/>
      <c r="D5" s="124" t="s">
        <v>105</v>
      </c>
      <c r="E5" s="125"/>
      <c r="F5" s="185" t="s">
        <v>177</v>
      </c>
      <c r="G5" s="109"/>
      <c r="H5" s="110"/>
    </row>
    <row r="6" spans="1:8">
      <c r="A6" s="46" t="s">
        <v>45</v>
      </c>
      <c r="B6" s="185" t="s">
        <v>176</v>
      </c>
      <c r="C6" s="114"/>
      <c r="D6" s="126" t="s">
        <v>106</v>
      </c>
      <c r="E6" s="127"/>
      <c r="F6" s="185" t="s">
        <v>178</v>
      </c>
      <c r="G6" s="109"/>
      <c r="H6" s="110"/>
    </row>
    <row r="7" spans="1:8">
      <c r="A7" s="121" t="s">
        <v>57</v>
      </c>
      <c r="B7" s="122"/>
      <c r="C7" s="122"/>
      <c r="D7" s="123"/>
      <c r="E7" s="123"/>
      <c r="F7" s="123"/>
      <c r="G7" s="123"/>
      <c r="H7" s="123"/>
    </row>
    <row r="8" spans="1:8">
      <c r="A8" s="2">
        <v>1</v>
      </c>
      <c r="B8" s="107"/>
      <c r="C8" s="108"/>
      <c r="D8" s="108"/>
      <c r="E8" s="108"/>
      <c r="F8" s="108"/>
      <c r="G8" s="109"/>
      <c r="H8" s="110"/>
    </row>
    <row r="9" spans="1:8">
      <c r="A9" s="2">
        <v>2</v>
      </c>
      <c r="B9" s="107"/>
      <c r="C9" s="108"/>
      <c r="D9" s="108"/>
      <c r="E9" s="108"/>
      <c r="F9" s="108"/>
      <c r="G9" s="109"/>
      <c r="H9" s="110"/>
    </row>
    <row r="10" spans="1:8">
      <c r="A10" s="2">
        <v>3</v>
      </c>
      <c r="B10" s="107"/>
      <c r="C10" s="108"/>
      <c r="D10" s="108"/>
      <c r="E10" s="108"/>
      <c r="F10" s="108"/>
      <c r="G10" s="109"/>
      <c r="H10" s="110"/>
    </row>
    <row r="11" spans="1:8">
      <c r="A11" s="2">
        <v>4</v>
      </c>
      <c r="B11" s="107"/>
      <c r="C11" s="108"/>
      <c r="D11" s="108"/>
      <c r="E11" s="108"/>
      <c r="F11" s="108"/>
      <c r="G11" s="109"/>
      <c r="H11" s="110"/>
    </row>
    <row r="12" spans="1:8">
      <c r="A12" s="2">
        <v>5</v>
      </c>
      <c r="B12" s="107"/>
      <c r="C12" s="108"/>
      <c r="D12" s="108"/>
      <c r="E12" s="108"/>
      <c r="F12" s="108"/>
      <c r="G12" s="109"/>
      <c r="H12" s="110"/>
    </row>
    <row r="13" spans="1:8">
      <c r="A13" s="121" t="s">
        <v>0</v>
      </c>
      <c r="B13" s="122"/>
      <c r="C13" s="122"/>
      <c r="D13" s="123"/>
      <c r="E13" s="123"/>
      <c r="F13" s="123"/>
      <c r="G13" s="123"/>
      <c r="H13" s="123"/>
    </row>
    <row r="14" spans="1:8">
      <c r="A14" s="2">
        <v>1</v>
      </c>
      <c r="B14" s="107"/>
      <c r="C14" s="108"/>
      <c r="D14" s="108"/>
      <c r="E14" s="108"/>
      <c r="F14" s="108"/>
      <c r="G14" s="109"/>
      <c r="H14" s="110"/>
    </row>
    <row r="15" spans="1:8">
      <c r="A15" s="2">
        <v>2</v>
      </c>
      <c r="B15" s="107"/>
      <c r="C15" s="108"/>
      <c r="D15" s="108"/>
      <c r="E15" s="108"/>
      <c r="F15" s="108"/>
      <c r="G15" s="109"/>
      <c r="H15" s="110"/>
    </row>
    <row r="16" spans="1:8">
      <c r="A16" s="2">
        <v>3</v>
      </c>
      <c r="B16" s="107"/>
      <c r="C16" s="108"/>
      <c r="D16" s="108"/>
      <c r="E16" s="108"/>
      <c r="F16" s="108"/>
      <c r="G16" s="109"/>
      <c r="H16" s="110"/>
    </row>
    <row r="17" spans="1:8">
      <c r="A17" s="2">
        <v>4</v>
      </c>
      <c r="B17" s="107"/>
      <c r="C17" s="108"/>
      <c r="D17" s="108"/>
      <c r="E17" s="108"/>
      <c r="F17" s="108"/>
      <c r="G17" s="109"/>
      <c r="H17" s="110"/>
    </row>
    <row r="18" spans="1:8">
      <c r="A18" s="2">
        <v>5</v>
      </c>
      <c r="B18" s="107"/>
      <c r="C18" s="108"/>
      <c r="D18" s="108"/>
      <c r="E18" s="108"/>
      <c r="F18" s="108"/>
      <c r="G18" s="109"/>
      <c r="H18" s="110"/>
    </row>
    <row r="20" spans="1:8">
      <c r="A20" s="116" t="s">
        <v>88</v>
      </c>
      <c r="B20" s="117"/>
      <c r="C20" s="117"/>
      <c r="D20" s="118"/>
      <c r="E20" s="118"/>
      <c r="F20" s="118"/>
      <c r="G20" s="118"/>
      <c r="H20" s="118"/>
    </row>
    <row r="21" spans="1:8">
      <c r="A21" s="119" t="s">
        <v>56</v>
      </c>
      <c r="B21" s="64"/>
      <c r="C21" s="61"/>
      <c r="D21" s="61"/>
      <c r="E21" s="61"/>
      <c r="F21" s="61"/>
      <c r="G21" s="61"/>
      <c r="H21" s="62"/>
    </row>
    <row r="22" spans="1:8" ht="13.5">
      <c r="A22" s="120"/>
      <c r="B22" s="63"/>
      <c r="C22" s="67" t="s">
        <v>148</v>
      </c>
      <c r="D22" s="66" t="s">
        <v>149</v>
      </c>
      <c r="E22" s="66"/>
      <c r="F22" s="66"/>
      <c r="G22" s="66"/>
      <c r="H22" s="67"/>
    </row>
    <row r="23" spans="1:8">
      <c r="A23" s="120"/>
      <c r="B23" s="65"/>
      <c r="C23" s="61"/>
      <c r="D23" s="61"/>
      <c r="E23" s="61"/>
      <c r="F23" s="61"/>
      <c r="G23" s="61"/>
      <c r="H23" s="62"/>
    </row>
  </sheetData>
  <sheetProtection sheet="1" objects="1" scenarios="1"/>
  <mergeCells count="24">
    <mergeCell ref="A20:H20"/>
    <mergeCell ref="A21:A23"/>
    <mergeCell ref="G4:H4"/>
    <mergeCell ref="B9:H9"/>
    <mergeCell ref="B10:H10"/>
    <mergeCell ref="A7:H7"/>
    <mergeCell ref="B8:H8"/>
    <mergeCell ref="D5:E5"/>
    <mergeCell ref="D6:E6"/>
    <mergeCell ref="B17:H17"/>
    <mergeCell ref="B18:H18"/>
    <mergeCell ref="B16:H16"/>
    <mergeCell ref="B12:H12"/>
    <mergeCell ref="A13:H13"/>
    <mergeCell ref="B14:H14"/>
    <mergeCell ref="B15:H15"/>
    <mergeCell ref="B11:H11"/>
    <mergeCell ref="A1:H1"/>
    <mergeCell ref="A2:H2"/>
    <mergeCell ref="B6:C6"/>
    <mergeCell ref="A4:F4"/>
    <mergeCell ref="B5:C5"/>
    <mergeCell ref="F5:H5"/>
    <mergeCell ref="F6:H6"/>
  </mergeCells>
  <phoneticPr fontId="0" type="noConversion"/>
  <hyperlinks>
    <hyperlink ref="A21:A23" location="TotalEffort!A1" display="转到TotalEffort"/>
    <hyperlink ref="C22" location="'EDC&amp;EDP_Effort'!A1" display="EDC&amp;EDP"/>
    <hyperlink ref="D22" location="'BDI_Effort'!A1" display="BDI"/>
  </hyperlinks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cellWatches>
    <cellWatch r="A20"/>
  </cellWatches>
  <drawing r:id="rId2"/>
  <legacyDrawing r:id="rId3"/>
  <legacyDrawingHF r:id="rId4"/>
  <controls>
    <mc:AlternateContent xmlns:mc="http://schemas.openxmlformats.org/markup-compatibility/2006">
      <mc:Choice Requires="x14">
        <control shapeId="23592" r:id="rId5" name="CBAddMod">
          <controlPr defaultSize="0" autoLine="0" r:id="rId6">
            <anchor moveWithCells="1">
              <from>
                <xdr:col>1</xdr:col>
                <xdr:colOff>76200</xdr:colOff>
                <xdr:row>20</xdr:row>
                <xdr:rowOff>114300</xdr:rowOff>
              </from>
              <to>
                <xdr:col>1</xdr:col>
                <xdr:colOff>666750</xdr:colOff>
                <xdr:row>22</xdr:row>
                <xdr:rowOff>57150</xdr:rowOff>
              </to>
            </anchor>
          </controlPr>
        </control>
      </mc:Choice>
      <mc:Fallback>
        <control shapeId="23592" r:id="rId5" name="CBAddMod"/>
      </mc:Fallback>
    </mc:AlternateContent>
    <mc:AlternateContent xmlns:mc="http://schemas.openxmlformats.org/markup-compatibility/2006">
      <mc:Choice Requires="x14">
        <control shapeId="23594" r:id="rId7" name="CBDelMod">
          <controlPr defaultSize="0" autoLine="0" r:id="rId8">
            <anchor moveWithCells="1">
              <from>
                <xdr:col>1</xdr:col>
                <xdr:colOff>752475</xdr:colOff>
                <xdr:row>20</xdr:row>
                <xdr:rowOff>114300</xdr:rowOff>
              </from>
              <to>
                <xdr:col>1</xdr:col>
                <xdr:colOff>1333500</xdr:colOff>
                <xdr:row>22</xdr:row>
                <xdr:rowOff>57150</xdr:rowOff>
              </to>
            </anchor>
          </controlPr>
        </control>
      </mc:Choice>
      <mc:Fallback>
        <control shapeId="23594" r:id="rId7" name="CBDelMo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02"/>
  <sheetViews>
    <sheetView workbookViewId="0">
      <selection activeCell="B6" sqref="B6:F6"/>
    </sheetView>
  </sheetViews>
  <sheetFormatPr defaultRowHeight="12.75"/>
  <cols>
    <col min="1" max="1" width="16.28515625" style="1" customWidth="1"/>
    <col min="2" max="2" width="20.85546875" style="1" customWidth="1"/>
    <col min="3" max="3" width="14.5703125" style="1" customWidth="1"/>
    <col min="4" max="4" width="18" style="1" customWidth="1"/>
    <col min="5" max="5" width="17.28515625" style="1" customWidth="1"/>
    <col min="6" max="6" width="18" style="1" customWidth="1"/>
    <col min="7" max="16384" width="9.140625" style="1"/>
  </cols>
  <sheetData>
    <row r="1" spans="1:6" ht="18" customHeight="1">
      <c r="A1" s="131" t="s">
        <v>17</v>
      </c>
      <c r="B1" s="132"/>
      <c r="C1" s="133"/>
      <c r="D1" s="133"/>
      <c r="E1" s="133"/>
      <c r="F1" s="134"/>
    </row>
    <row r="2" spans="1:6" ht="16.5" customHeight="1">
      <c r="A2" s="19" t="s">
        <v>16</v>
      </c>
      <c r="B2" s="135" t="s">
        <v>1</v>
      </c>
      <c r="C2" s="136"/>
      <c r="D2" s="136"/>
      <c r="E2" s="136"/>
      <c r="F2" s="137"/>
    </row>
    <row r="3" spans="1:6">
      <c r="A3" s="4"/>
      <c r="B3" s="140"/>
      <c r="C3" s="129"/>
      <c r="D3" s="129"/>
      <c r="E3" s="129"/>
      <c r="F3" s="130"/>
    </row>
    <row r="4" spans="1:6">
      <c r="A4" s="42"/>
      <c r="B4" s="140"/>
      <c r="C4" s="129"/>
      <c r="D4" s="129"/>
      <c r="E4" s="129"/>
      <c r="F4" s="130"/>
    </row>
    <row r="5" spans="1:6">
      <c r="A5" s="4"/>
      <c r="B5" s="128"/>
      <c r="C5" s="129"/>
      <c r="D5" s="129"/>
      <c r="E5" s="129"/>
      <c r="F5" s="130"/>
    </row>
    <row r="6" spans="1:6">
      <c r="A6" s="4"/>
      <c r="B6" s="128"/>
      <c r="C6" s="138"/>
      <c r="D6" s="138"/>
      <c r="E6" s="138"/>
      <c r="F6" s="139"/>
    </row>
    <row r="7" spans="1:6">
      <c r="A7" s="4"/>
      <c r="B7" s="128"/>
      <c r="C7" s="129"/>
      <c r="D7" s="129"/>
      <c r="E7" s="129"/>
      <c r="F7" s="130"/>
    </row>
    <row r="8" spans="1:6">
      <c r="A8" s="42"/>
      <c r="B8" s="128"/>
      <c r="C8" s="129"/>
      <c r="D8" s="129"/>
      <c r="E8" s="129"/>
      <c r="F8" s="130"/>
    </row>
    <row r="9" spans="1:6">
      <c r="A9" s="4"/>
      <c r="B9" s="140"/>
      <c r="C9" s="129"/>
      <c r="D9" s="129"/>
      <c r="E9" s="129"/>
      <c r="F9" s="130"/>
    </row>
    <row r="10" spans="1:6">
      <c r="A10" s="4"/>
      <c r="B10" s="128"/>
      <c r="C10" s="129"/>
      <c r="D10" s="129"/>
      <c r="E10" s="129"/>
      <c r="F10" s="130"/>
    </row>
    <row r="11" spans="1:6">
      <c r="A11" s="4"/>
      <c r="B11" s="128"/>
      <c r="C11" s="129"/>
      <c r="D11" s="129"/>
      <c r="E11" s="129"/>
      <c r="F11" s="130"/>
    </row>
    <row r="12" spans="1:6">
      <c r="A12" s="4"/>
      <c r="B12" s="128"/>
      <c r="C12" s="129"/>
      <c r="D12" s="129"/>
      <c r="E12" s="129"/>
      <c r="F12" s="130"/>
    </row>
    <row r="13" spans="1:6">
      <c r="A13" s="4"/>
      <c r="B13" s="128"/>
      <c r="C13" s="129"/>
      <c r="D13" s="129"/>
      <c r="E13" s="129"/>
      <c r="F13" s="130"/>
    </row>
    <row r="14" spans="1:6">
      <c r="A14" s="4"/>
      <c r="B14" s="128"/>
      <c r="C14" s="129"/>
      <c r="D14" s="129"/>
      <c r="E14" s="129"/>
      <c r="F14" s="130"/>
    </row>
    <row r="15" spans="1:6">
      <c r="A15" s="4"/>
      <c r="B15" s="128"/>
      <c r="C15" s="129"/>
      <c r="D15" s="129"/>
      <c r="E15" s="129"/>
      <c r="F15" s="130"/>
    </row>
    <row r="16" spans="1:6">
      <c r="A16" s="4"/>
      <c r="B16" s="128"/>
      <c r="C16" s="129"/>
      <c r="D16" s="129"/>
      <c r="E16" s="129"/>
      <c r="F16" s="130"/>
    </row>
    <row r="17" spans="1:6">
      <c r="A17" s="4"/>
      <c r="B17" s="128"/>
      <c r="C17" s="129"/>
      <c r="D17" s="129"/>
      <c r="E17" s="129"/>
      <c r="F17" s="130"/>
    </row>
    <row r="18" spans="1:6">
      <c r="A18" s="4"/>
      <c r="B18" s="128"/>
      <c r="C18" s="129"/>
      <c r="D18" s="129"/>
      <c r="E18" s="129"/>
      <c r="F18" s="130"/>
    </row>
    <row r="19" spans="1:6">
      <c r="A19" s="4"/>
      <c r="B19" s="128"/>
      <c r="C19" s="129"/>
      <c r="D19" s="129"/>
      <c r="E19" s="129"/>
      <c r="F19" s="130"/>
    </row>
    <row r="20" spans="1:6">
      <c r="A20" s="4"/>
      <c r="B20" s="128"/>
      <c r="C20" s="129"/>
      <c r="D20" s="129"/>
      <c r="E20" s="129"/>
      <c r="F20" s="130"/>
    </row>
    <row r="21" spans="1:6">
      <c r="A21" s="4"/>
      <c r="B21" s="128"/>
      <c r="C21" s="129"/>
      <c r="D21" s="129"/>
      <c r="E21" s="129"/>
      <c r="F21" s="130"/>
    </row>
    <row r="22" spans="1:6">
      <c r="A22" s="4"/>
      <c r="B22" s="128"/>
      <c r="C22" s="129"/>
      <c r="D22" s="129"/>
      <c r="E22" s="129"/>
      <c r="F22" s="130"/>
    </row>
    <row r="23" spans="1:6">
      <c r="A23" s="4"/>
      <c r="B23" s="128"/>
      <c r="C23" s="129"/>
      <c r="D23" s="129"/>
      <c r="E23" s="129"/>
      <c r="F23" s="130"/>
    </row>
    <row r="24" spans="1:6">
      <c r="A24" s="4"/>
      <c r="B24" s="128"/>
      <c r="C24" s="129"/>
      <c r="D24" s="129"/>
      <c r="E24" s="129"/>
      <c r="F24" s="130"/>
    </row>
    <row r="25" spans="1:6">
      <c r="A25" s="4"/>
      <c r="B25" s="128"/>
      <c r="C25" s="129"/>
      <c r="D25" s="129"/>
      <c r="E25" s="129"/>
      <c r="F25" s="130"/>
    </row>
    <row r="26" spans="1:6">
      <c r="A26" s="4"/>
      <c r="B26" s="128"/>
      <c r="C26" s="129"/>
      <c r="D26" s="129"/>
      <c r="E26" s="129"/>
      <c r="F26" s="130"/>
    </row>
    <row r="27" spans="1:6">
      <c r="A27" s="4"/>
      <c r="B27" s="128"/>
      <c r="C27" s="129"/>
      <c r="D27" s="129"/>
      <c r="E27" s="129"/>
      <c r="F27" s="130"/>
    </row>
    <row r="28" spans="1:6">
      <c r="A28" s="4"/>
      <c r="B28" s="128"/>
      <c r="C28" s="129"/>
      <c r="D28" s="129"/>
      <c r="E28" s="129"/>
      <c r="F28" s="130"/>
    </row>
    <row r="29" spans="1:6">
      <c r="A29" s="4"/>
      <c r="B29" s="128"/>
      <c r="C29" s="129"/>
      <c r="D29" s="129"/>
      <c r="E29" s="129"/>
      <c r="F29" s="130"/>
    </row>
    <row r="30" spans="1:6">
      <c r="A30" s="4"/>
      <c r="B30" s="128"/>
      <c r="C30" s="129"/>
      <c r="D30" s="129"/>
      <c r="E30" s="129"/>
      <c r="F30" s="130"/>
    </row>
    <row r="31" spans="1:6">
      <c r="A31" s="4"/>
      <c r="B31" s="128"/>
      <c r="C31" s="129"/>
      <c r="D31" s="129"/>
      <c r="E31" s="129"/>
      <c r="F31" s="130"/>
    </row>
    <row r="32" spans="1:6">
      <c r="A32" s="4"/>
      <c r="B32" s="128"/>
      <c r="C32" s="129"/>
      <c r="D32" s="129"/>
      <c r="E32" s="129"/>
      <c r="F32" s="130"/>
    </row>
    <row r="33" spans="1:6">
      <c r="A33" s="4"/>
      <c r="B33" s="128"/>
      <c r="C33" s="129"/>
      <c r="D33" s="129"/>
      <c r="E33" s="129"/>
      <c r="F33" s="130"/>
    </row>
    <row r="34" spans="1:6">
      <c r="A34" s="4"/>
      <c r="B34" s="128"/>
      <c r="C34" s="129"/>
      <c r="D34" s="129"/>
      <c r="E34" s="129"/>
      <c r="F34" s="130"/>
    </row>
    <row r="35" spans="1:6">
      <c r="A35" s="4"/>
      <c r="B35" s="128"/>
      <c r="C35" s="129"/>
      <c r="D35" s="129"/>
      <c r="E35" s="129"/>
      <c r="F35" s="130"/>
    </row>
    <row r="36" spans="1:6">
      <c r="A36" s="4"/>
      <c r="B36" s="128"/>
      <c r="C36" s="129"/>
      <c r="D36" s="129"/>
      <c r="E36" s="129"/>
      <c r="F36" s="130"/>
    </row>
    <row r="37" spans="1:6">
      <c r="A37" s="4"/>
      <c r="B37" s="128"/>
      <c r="C37" s="129"/>
      <c r="D37" s="129"/>
      <c r="E37" s="129"/>
      <c r="F37" s="130"/>
    </row>
    <row r="38" spans="1:6">
      <c r="A38" s="4"/>
      <c r="B38" s="128"/>
      <c r="C38" s="129"/>
      <c r="D38" s="129"/>
      <c r="E38" s="129"/>
      <c r="F38" s="130"/>
    </row>
    <row r="39" spans="1:6">
      <c r="A39" s="4"/>
      <c r="B39" s="128"/>
      <c r="C39" s="129"/>
      <c r="D39" s="129"/>
      <c r="E39" s="129"/>
      <c r="F39" s="130"/>
    </row>
    <row r="40" spans="1:6">
      <c r="A40" s="4"/>
      <c r="B40" s="128"/>
      <c r="C40" s="129"/>
      <c r="D40" s="129"/>
      <c r="E40" s="129"/>
      <c r="F40" s="130"/>
    </row>
    <row r="41" spans="1:6">
      <c r="A41" s="4"/>
      <c r="B41" s="128"/>
      <c r="C41" s="129"/>
      <c r="D41" s="129"/>
      <c r="E41" s="129"/>
      <c r="F41" s="130"/>
    </row>
    <row r="42" spans="1:6">
      <c r="A42" s="4"/>
      <c r="B42" s="128"/>
      <c r="C42" s="129"/>
      <c r="D42" s="129"/>
      <c r="E42" s="129"/>
      <c r="F42" s="130"/>
    </row>
    <row r="43" spans="1:6">
      <c r="A43" s="4"/>
      <c r="B43" s="128"/>
      <c r="C43" s="129"/>
      <c r="D43" s="129"/>
      <c r="E43" s="129"/>
      <c r="F43" s="130"/>
    </row>
    <row r="44" spans="1:6">
      <c r="A44" s="4"/>
      <c r="B44" s="128"/>
      <c r="C44" s="129"/>
      <c r="D44" s="129"/>
      <c r="E44" s="129"/>
      <c r="F44" s="130"/>
    </row>
    <row r="45" spans="1:6">
      <c r="A45" s="4"/>
      <c r="B45" s="128"/>
      <c r="C45" s="129"/>
      <c r="D45" s="129"/>
      <c r="E45" s="129"/>
      <c r="F45" s="130"/>
    </row>
    <row r="46" spans="1:6">
      <c r="A46" s="4"/>
      <c r="B46" s="128"/>
      <c r="C46" s="129"/>
      <c r="D46" s="129"/>
      <c r="E46" s="129"/>
      <c r="F46" s="130"/>
    </row>
    <row r="47" spans="1:6">
      <c r="A47" s="4"/>
      <c r="B47" s="128"/>
      <c r="C47" s="129"/>
      <c r="D47" s="129"/>
      <c r="E47" s="129"/>
      <c r="F47" s="130"/>
    </row>
    <row r="48" spans="1:6">
      <c r="A48" s="4"/>
      <c r="B48" s="128"/>
      <c r="C48" s="129"/>
      <c r="D48" s="129"/>
      <c r="E48" s="129"/>
      <c r="F48" s="130"/>
    </row>
    <row r="49" spans="1:6">
      <c r="A49" s="4"/>
      <c r="B49" s="128"/>
      <c r="C49" s="129"/>
      <c r="D49" s="129"/>
      <c r="E49" s="129"/>
      <c r="F49" s="130"/>
    </row>
    <row r="50" spans="1:6">
      <c r="A50" s="4"/>
      <c r="B50" s="128"/>
      <c r="C50" s="129"/>
      <c r="D50" s="129"/>
      <c r="E50" s="129"/>
      <c r="F50" s="130"/>
    </row>
    <row r="51" spans="1:6">
      <c r="A51" s="4"/>
      <c r="B51" s="128"/>
      <c r="C51" s="129"/>
      <c r="D51" s="129"/>
      <c r="E51" s="129"/>
      <c r="F51" s="130"/>
    </row>
    <row r="52" spans="1:6">
      <c r="A52" s="4"/>
      <c r="B52" s="128"/>
      <c r="C52" s="129"/>
      <c r="D52" s="129"/>
      <c r="E52" s="129"/>
      <c r="F52" s="130"/>
    </row>
    <row r="53" spans="1:6">
      <c r="A53" s="4"/>
      <c r="B53" s="128"/>
      <c r="C53" s="129"/>
      <c r="D53" s="129"/>
      <c r="E53" s="129"/>
      <c r="F53" s="130"/>
    </row>
    <row r="54" spans="1:6">
      <c r="A54" s="4"/>
      <c r="B54" s="128"/>
      <c r="C54" s="129"/>
      <c r="D54" s="129"/>
      <c r="E54" s="129"/>
      <c r="F54" s="130"/>
    </row>
    <row r="55" spans="1:6">
      <c r="A55" s="4"/>
      <c r="B55" s="128"/>
      <c r="C55" s="129"/>
      <c r="D55" s="129"/>
      <c r="E55" s="129"/>
      <c r="F55" s="130"/>
    </row>
    <row r="56" spans="1:6">
      <c r="A56" s="4"/>
      <c r="B56" s="128"/>
      <c r="C56" s="129"/>
      <c r="D56" s="129"/>
      <c r="E56" s="129"/>
      <c r="F56" s="130"/>
    </row>
    <row r="57" spans="1:6">
      <c r="A57" s="4"/>
      <c r="B57" s="128"/>
      <c r="C57" s="129"/>
      <c r="D57" s="129"/>
      <c r="E57" s="129"/>
      <c r="F57" s="130"/>
    </row>
    <row r="58" spans="1:6">
      <c r="A58" s="4"/>
      <c r="B58" s="128"/>
      <c r="C58" s="129"/>
      <c r="D58" s="129"/>
      <c r="E58" s="129"/>
      <c r="F58" s="130"/>
    </row>
    <row r="59" spans="1:6">
      <c r="A59" s="4"/>
      <c r="B59" s="128"/>
      <c r="C59" s="129"/>
      <c r="D59" s="129"/>
      <c r="E59" s="129"/>
      <c r="F59" s="130"/>
    </row>
    <row r="60" spans="1:6">
      <c r="A60" s="4"/>
      <c r="B60" s="128"/>
      <c r="C60" s="129"/>
      <c r="D60" s="129"/>
      <c r="E60" s="129"/>
      <c r="F60" s="130"/>
    </row>
    <row r="61" spans="1:6">
      <c r="A61" s="4"/>
      <c r="B61" s="128"/>
      <c r="C61" s="129"/>
      <c r="D61" s="129"/>
      <c r="E61" s="129"/>
      <c r="F61" s="130"/>
    </row>
    <row r="62" spans="1:6">
      <c r="A62" s="4"/>
      <c r="B62" s="128"/>
      <c r="C62" s="129"/>
      <c r="D62" s="129"/>
      <c r="E62" s="129"/>
      <c r="F62" s="130"/>
    </row>
    <row r="63" spans="1:6">
      <c r="A63" s="4"/>
      <c r="B63" s="128"/>
      <c r="C63" s="129"/>
      <c r="D63" s="129"/>
      <c r="E63" s="129"/>
      <c r="F63" s="130"/>
    </row>
    <row r="64" spans="1:6">
      <c r="A64" s="4"/>
      <c r="B64" s="128"/>
      <c r="C64" s="129"/>
      <c r="D64" s="129"/>
      <c r="E64" s="129"/>
      <c r="F64" s="130"/>
    </row>
    <row r="65" spans="1:6">
      <c r="A65" s="4"/>
      <c r="B65" s="128"/>
      <c r="C65" s="129"/>
      <c r="D65" s="129"/>
      <c r="E65" s="129"/>
      <c r="F65" s="130"/>
    </row>
    <row r="66" spans="1:6">
      <c r="A66" s="4"/>
      <c r="B66" s="128"/>
      <c r="C66" s="129"/>
      <c r="D66" s="129"/>
      <c r="E66" s="129"/>
      <c r="F66" s="130"/>
    </row>
    <row r="67" spans="1:6">
      <c r="A67" s="4"/>
      <c r="B67" s="128"/>
      <c r="C67" s="129"/>
      <c r="D67" s="129"/>
      <c r="E67" s="129"/>
      <c r="F67" s="130"/>
    </row>
    <row r="68" spans="1:6">
      <c r="A68" s="4"/>
      <c r="B68" s="128"/>
      <c r="C68" s="129"/>
      <c r="D68" s="129"/>
      <c r="E68" s="129"/>
      <c r="F68" s="130"/>
    </row>
    <row r="69" spans="1:6">
      <c r="A69" s="4"/>
      <c r="B69" s="128"/>
      <c r="C69" s="129"/>
      <c r="D69" s="129"/>
      <c r="E69" s="129"/>
      <c r="F69" s="130"/>
    </row>
    <row r="70" spans="1:6">
      <c r="A70" s="4"/>
      <c r="B70" s="128"/>
      <c r="C70" s="129"/>
      <c r="D70" s="129"/>
      <c r="E70" s="129"/>
      <c r="F70" s="130"/>
    </row>
    <row r="71" spans="1:6">
      <c r="A71" s="4"/>
      <c r="B71" s="128"/>
      <c r="C71" s="129"/>
      <c r="D71" s="129"/>
      <c r="E71" s="129"/>
      <c r="F71" s="130"/>
    </row>
    <row r="72" spans="1:6">
      <c r="A72" s="4"/>
      <c r="B72" s="128"/>
      <c r="C72" s="129"/>
      <c r="D72" s="129"/>
      <c r="E72" s="129"/>
      <c r="F72" s="130"/>
    </row>
    <row r="73" spans="1:6">
      <c r="A73" s="4"/>
      <c r="B73" s="128"/>
      <c r="C73" s="129"/>
      <c r="D73" s="129"/>
      <c r="E73" s="129"/>
      <c r="F73" s="130"/>
    </row>
    <row r="74" spans="1:6">
      <c r="A74" s="4"/>
      <c r="B74" s="128"/>
      <c r="C74" s="129"/>
      <c r="D74" s="129"/>
      <c r="E74" s="129"/>
      <c r="F74" s="130"/>
    </row>
    <row r="75" spans="1:6">
      <c r="A75" s="4"/>
      <c r="B75" s="128"/>
      <c r="C75" s="129"/>
      <c r="D75" s="129"/>
      <c r="E75" s="129"/>
      <c r="F75" s="130"/>
    </row>
    <row r="76" spans="1:6">
      <c r="A76" s="4"/>
      <c r="B76" s="128"/>
      <c r="C76" s="129"/>
      <c r="D76" s="129"/>
      <c r="E76" s="129"/>
      <c r="F76" s="130"/>
    </row>
    <row r="77" spans="1:6">
      <c r="A77" s="4"/>
      <c r="B77" s="128"/>
      <c r="C77" s="129"/>
      <c r="D77" s="129"/>
      <c r="E77" s="129"/>
      <c r="F77" s="130"/>
    </row>
    <row r="78" spans="1:6">
      <c r="A78" s="4"/>
      <c r="B78" s="128"/>
      <c r="C78" s="129"/>
      <c r="D78" s="129"/>
      <c r="E78" s="129"/>
      <c r="F78" s="130"/>
    </row>
    <row r="79" spans="1:6">
      <c r="A79" s="4"/>
      <c r="B79" s="128"/>
      <c r="C79" s="129"/>
      <c r="D79" s="129"/>
      <c r="E79" s="129"/>
      <c r="F79" s="130"/>
    </row>
    <row r="80" spans="1:6">
      <c r="A80" s="4"/>
      <c r="B80" s="128"/>
      <c r="C80" s="129"/>
      <c r="D80" s="129"/>
      <c r="E80" s="129"/>
      <c r="F80" s="130"/>
    </row>
    <row r="81" spans="1:6">
      <c r="A81" s="4"/>
      <c r="B81" s="128"/>
      <c r="C81" s="129"/>
      <c r="D81" s="129"/>
      <c r="E81" s="129"/>
      <c r="F81" s="130"/>
    </row>
    <row r="82" spans="1:6">
      <c r="A82" s="4"/>
      <c r="B82" s="128"/>
      <c r="C82" s="129"/>
      <c r="D82" s="129"/>
      <c r="E82" s="129"/>
      <c r="F82" s="130"/>
    </row>
    <row r="83" spans="1:6">
      <c r="A83" s="4"/>
      <c r="B83" s="128"/>
      <c r="C83" s="129"/>
      <c r="D83" s="129"/>
      <c r="E83" s="129"/>
      <c r="F83" s="130"/>
    </row>
    <row r="84" spans="1:6">
      <c r="A84" s="4"/>
      <c r="B84" s="128"/>
      <c r="C84" s="129"/>
      <c r="D84" s="129"/>
      <c r="E84" s="129"/>
      <c r="F84" s="130"/>
    </row>
    <row r="85" spans="1:6">
      <c r="A85" s="4"/>
      <c r="B85" s="128"/>
      <c r="C85" s="129"/>
      <c r="D85" s="129"/>
      <c r="E85" s="129"/>
      <c r="F85" s="130"/>
    </row>
    <row r="86" spans="1:6">
      <c r="A86" s="4"/>
      <c r="B86" s="128"/>
      <c r="C86" s="129"/>
      <c r="D86" s="129"/>
      <c r="E86" s="129"/>
      <c r="F86" s="130"/>
    </row>
    <row r="87" spans="1:6">
      <c r="A87" s="4"/>
      <c r="B87" s="128"/>
      <c r="C87" s="129"/>
      <c r="D87" s="129"/>
      <c r="E87" s="129"/>
      <c r="F87" s="130"/>
    </row>
    <row r="88" spans="1:6">
      <c r="A88" s="4"/>
      <c r="B88" s="128"/>
      <c r="C88" s="129"/>
      <c r="D88" s="129"/>
      <c r="E88" s="129"/>
      <c r="F88" s="130"/>
    </row>
    <row r="89" spans="1:6">
      <c r="A89" s="4"/>
      <c r="B89" s="128"/>
      <c r="C89" s="129"/>
      <c r="D89" s="129"/>
      <c r="E89" s="129"/>
      <c r="F89" s="130"/>
    </row>
    <row r="90" spans="1:6">
      <c r="A90" s="4"/>
      <c r="B90" s="128"/>
      <c r="C90" s="129"/>
      <c r="D90" s="129"/>
      <c r="E90" s="129"/>
      <c r="F90" s="130"/>
    </row>
    <row r="91" spans="1:6">
      <c r="A91" s="4"/>
      <c r="B91" s="128"/>
      <c r="C91" s="129"/>
      <c r="D91" s="129"/>
      <c r="E91" s="129"/>
      <c r="F91" s="130"/>
    </row>
    <row r="92" spans="1:6">
      <c r="A92" s="4"/>
      <c r="B92" s="128"/>
      <c r="C92" s="129"/>
      <c r="D92" s="129"/>
      <c r="E92" s="129"/>
      <c r="F92" s="130"/>
    </row>
    <row r="93" spans="1:6">
      <c r="A93" s="4"/>
      <c r="B93" s="128"/>
      <c r="C93" s="129"/>
      <c r="D93" s="129"/>
      <c r="E93" s="129"/>
      <c r="F93" s="130"/>
    </row>
    <row r="94" spans="1:6">
      <c r="A94" s="4"/>
      <c r="B94" s="128"/>
      <c r="C94" s="129"/>
      <c r="D94" s="129"/>
      <c r="E94" s="129"/>
      <c r="F94" s="130"/>
    </row>
    <row r="95" spans="1:6">
      <c r="A95" s="4"/>
      <c r="B95" s="128"/>
      <c r="C95" s="129"/>
      <c r="D95" s="129"/>
      <c r="E95" s="129"/>
      <c r="F95" s="130"/>
    </row>
    <row r="96" spans="1:6">
      <c r="A96" s="4"/>
      <c r="B96" s="128"/>
      <c r="C96" s="129"/>
      <c r="D96" s="129"/>
      <c r="E96" s="129"/>
      <c r="F96" s="130"/>
    </row>
    <row r="97" spans="1:6">
      <c r="A97" s="4"/>
      <c r="B97" s="128"/>
      <c r="C97" s="129"/>
      <c r="D97" s="129"/>
      <c r="E97" s="129"/>
      <c r="F97" s="130"/>
    </row>
    <row r="98" spans="1:6">
      <c r="A98" s="4"/>
      <c r="B98" s="128"/>
      <c r="C98" s="129"/>
      <c r="D98" s="129"/>
      <c r="E98" s="129"/>
      <c r="F98" s="130"/>
    </row>
    <row r="99" spans="1:6">
      <c r="A99" s="4"/>
      <c r="B99" s="128"/>
      <c r="C99" s="129"/>
      <c r="D99" s="129"/>
      <c r="E99" s="129"/>
      <c r="F99" s="130"/>
    </row>
    <row r="100" spans="1:6">
      <c r="A100" s="4"/>
      <c r="B100" s="128"/>
      <c r="C100" s="129"/>
      <c r="D100" s="129"/>
      <c r="E100" s="129"/>
      <c r="F100" s="130"/>
    </row>
    <row r="101" spans="1:6">
      <c r="A101" s="4"/>
      <c r="B101" s="128"/>
      <c r="C101" s="129"/>
      <c r="D101" s="129"/>
      <c r="E101" s="129"/>
      <c r="F101" s="130"/>
    </row>
    <row r="102" spans="1:6">
      <c r="A102" s="4"/>
      <c r="B102" s="128"/>
      <c r="C102" s="129"/>
      <c r="D102" s="129"/>
      <c r="E102" s="129"/>
      <c r="F102" s="130"/>
    </row>
    <row r="103" spans="1:6">
      <c r="A103" s="4"/>
      <c r="B103" s="128"/>
      <c r="C103" s="129"/>
      <c r="D103" s="129"/>
      <c r="E103" s="129"/>
      <c r="F103" s="130"/>
    </row>
    <row r="104" spans="1:6">
      <c r="A104" s="4"/>
      <c r="B104" s="128"/>
      <c r="C104" s="129"/>
      <c r="D104" s="129"/>
      <c r="E104" s="129"/>
      <c r="F104" s="130"/>
    </row>
    <row r="105" spans="1:6">
      <c r="A105" s="4"/>
      <c r="B105" s="128"/>
      <c r="C105" s="129"/>
      <c r="D105" s="129"/>
      <c r="E105" s="129"/>
      <c r="F105" s="130"/>
    </row>
    <row r="106" spans="1:6">
      <c r="A106" s="4"/>
      <c r="B106" s="128"/>
      <c r="C106" s="129"/>
      <c r="D106" s="129"/>
      <c r="E106" s="129"/>
      <c r="F106" s="130"/>
    </row>
    <row r="107" spans="1:6">
      <c r="A107" s="4"/>
      <c r="B107" s="128"/>
      <c r="C107" s="129"/>
      <c r="D107" s="129"/>
      <c r="E107" s="129"/>
      <c r="F107" s="130"/>
    </row>
    <row r="108" spans="1:6">
      <c r="A108" s="4"/>
      <c r="B108" s="128"/>
      <c r="C108" s="129"/>
      <c r="D108" s="129"/>
      <c r="E108" s="129"/>
      <c r="F108" s="130"/>
    </row>
    <row r="109" spans="1:6">
      <c r="A109" s="4"/>
      <c r="B109" s="128"/>
      <c r="C109" s="129"/>
      <c r="D109" s="129"/>
      <c r="E109" s="129"/>
      <c r="F109" s="130"/>
    </row>
    <row r="110" spans="1:6">
      <c r="A110" s="4"/>
      <c r="B110" s="128"/>
      <c r="C110" s="129"/>
      <c r="D110" s="129"/>
      <c r="E110" s="129"/>
      <c r="F110" s="130"/>
    </row>
    <row r="111" spans="1:6">
      <c r="A111" s="4"/>
      <c r="B111" s="128"/>
      <c r="C111" s="129"/>
      <c r="D111" s="129"/>
      <c r="E111" s="129"/>
      <c r="F111" s="130"/>
    </row>
    <row r="112" spans="1:6">
      <c r="A112" s="4"/>
      <c r="B112" s="128"/>
      <c r="C112" s="129"/>
      <c r="D112" s="129"/>
      <c r="E112" s="129"/>
      <c r="F112" s="130"/>
    </row>
    <row r="113" spans="1:6">
      <c r="A113" s="4"/>
      <c r="B113" s="128"/>
      <c r="C113" s="129"/>
      <c r="D113" s="129"/>
      <c r="E113" s="129"/>
      <c r="F113" s="130"/>
    </row>
    <row r="114" spans="1:6">
      <c r="A114" s="4"/>
      <c r="B114" s="128"/>
      <c r="C114" s="129"/>
      <c r="D114" s="129"/>
      <c r="E114" s="129"/>
      <c r="F114" s="130"/>
    </row>
    <row r="115" spans="1:6">
      <c r="A115" s="4"/>
      <c r="B115" s="128"/>
      <c r="C115" s="129"/>
      <c r="D115" s="129"/>
      <c r="E115" s="129"/>
      <c r="F115" s="130"/>
    </row>
    <row r="116" spans="1:6">
      <c r="A116" s="4"/>
      <c r="B116" s="128"/>
      <c r="C116" s="129"/>
      <c r="D116" s="129"/>
      <c r="E116" s="129"/>
      <c r="F116" s="130"/>
    </row>
    <row r="117" spans="1:6">
      <c r="A117" s="4"/>
      <c r="B117" s="128"/>
      <c r="C117" s="129"/>
      <c r="D117" s="129"/>
      <c r="E117" s="129"/>
      <c r="F117" s="130"/>
    </row>
    <row r="118" spans="1:6">
      <c r="A118" s="4"/>
      <c r="B118" s="128"/>
      <c r="C118" s="129"/>
      <c r="D118" s="129"/>
      <c r="E118" s="129"/>
      <c r="F118" s="130"/>
    </row>
    <row r="119" spans="1:6">
      <c r="A119" s="4"/>
      <c r="B119" s="128"/>
      <c r="C119" s="129"/>
      <c r="D119" s="129"/>
      <c r="E119" s="129"/>
      <c r="F119" s="130"/>
    </row>
    <row r="120" spans="1:6">
      <c r="A120" s="4"/>
      <c r="B120" s="128"/>
      <c r="C120" s="129"/>
      <c r="D120" s="129"/>
      <c r="E120" s="129"/>
      <c r="F120" s="130"/>
    </row>
    <row r="121" spans="1:6">
      <c r="A121" s="4"/>
      <c r="B121" s="128"/>
      <c r="C121" s="129"/>
      <c r="D121" s="129"/>
      <c r="E121" s="129"/>
      <c r="F121" s="130"/>
    </row>
    <row r="122" spans="1:6">
      <c r="A122" s="4"/>
      <c r="B122" s="128"/>
      <c r="C122" s="129"/>
      <c r="D122" s="129"/>
      <c r="E122" s="129"/>
      <c r="F122" s="130"/>
    </row>
    <row r="123" spans="1:6">
      <c r="A123" s="4"/>
      <c r="B123" s="128"/>
      <c r="C123" s="129"/>
      <c r="D123" s="129"/>
      <c r="E123" s="129"/>
      <c r="F123" s="130"/>
    </row>
    <row r="124" spans="1:6">
      <c r="A124" s="4"/>
      <c r="B124" s="128"/>
      <c r="C124" s="129"/>
      <c r="D124" s="129"/>
      <c r="E124" s="129"/>
      <c r="F124" s="130"/>
    </row>
    <row r="125" spans="1:6">
      <c r="A125" s="4"/>
      <c r="B125" s="128"/>
      <c r="C125" s="129"/>
      <c r="D125" s="129"/>
      <c r="E125" s="129"/>
      <c r="F125" s="130"/>
    </row>
    <row r="126" spans="1:6">
      <c r="A126" s="4"/>
      <c r="B126" s="128"/>
      <c r="C126" s="129"/>
      <c r="D126" s="129"/>
      <c r="E126" s="129"/>
      <c r="F126" s="130"/>
    </row>
    <row r="127" spans="1:6">
      <c r="A127" s="4"/>
      <c r="B127" s="128"/>
      <c r="C127" s="129"/>
      <c r="D127" s="129"/>
      <c r="E127" s="129"/>
      <c r="F127" s="130"/>
    </row>
    <row r="128" spans="1:6">
      <c r="A128" s="4"/>
      <c r="B128" s="128"/>
      <c r="C128" s="129"/>
      <c r="D128" s="129"/>
      <c r="E128" s="129"/>
      <c r="F128" s="130"/>
    </row>
    <row r="129" spans="1:6">
      <c r="A129" s="4"/>
      <c r="B129" s="128"/>
      <c r="C129" s="129"/>
      <c r="D129" s="129"/>
      <c r="E129" s="129"/>
      <c r="F129" s="130"/>
    </row>
    <row r="130" spans="1:6">
      <c r="A130" s="4"/>
      <c r="B130" s="128"/>
      <c r="C130" s="129"/>
      <c r="D130" s="129"/>
      <c r="E130" s="129"/>
      <c r="F130" s="130"/>
    </row>
    <row r="131" spans="1:6">
      <c r="A131" s="4"/>
      <c r="B131" s="128"/>
      <c r="C131" s="129"/>
      <c r="D131" s="129"/>
      <c r="E131" s="129"/>
      <c r="F131" s="130"/>
    </row>
    <row r="132" spans="1:6">
      <c r="A132" s="4"/>
      <c r="B132" s="128"/>
      <c r="C132" s="129"/>
      <c r="D132" s="129"/>
      <c r="E132" s="129"/>
      <c r="F132" s="130"/>
    </row>
    <row r="133" spans="1:6">
      <c r="A133" s="4"/>
      <c r="B133" s="128"/>
      <c r="C133" s="129"/>
      <c r="D133" s="129"/>
      <c r="E133" s="129"/>
      <c r="F133" s="130"/>
    </row>
    <row r="134" spans="1:6">
      <c r="A134" s="4"/>
      <c r="B134" s="128"/>
      <c r="C134" s="129"/>
      <c r="D134" s="129"/>
      <c r="E134" s="129"/>
      <c r="F134" s="130"/>
    </row>
    <row r="135" spans="1:6">
      <c r="A135" s="4"/>
      <c r="B135" s="128"/>
      <c r="C135" s="129"/>
      <c r="D135" s="129"/>
      <c r="E135" s="129"/>
      <c r="F135" s="130"/>
    </row>
    <row r="136" spans="1:6">
      <c r="A136" s="4"/>
      <c r="B136" s="128"/>
      <c r="C136" s="129"/>
      <c r="D136" s="129"/>
      <c r="E136" s="129"/>
      <c r="F136" s="130"/>
    </row>
    <row r="137" spans="1:6">
      <c r="A137" s="4"/>
      <c r="B137" s="128"/>
      <c r="C137" s="129"/>
      <c r="D137" s="129"/>
      <c r="E137" s="129"/>
      <c r="F137" s="130"/>
    </row>
    <row r="138" spans="1:6">
      <c r="A138" s="4"/>
      <c r="B138" s="128"/>
      <c r="C138" s="129"/>
      <c r="D138" s="129"/>
      <c r="E138" s="129"/>
      <c r="F138" s="130"/>
    </row>
    <row r="139" spans="1:6">
      <c r="A139" s="4"/>
      <c r="B139" s="128"/>
      <c r="C139" s="129"/>
      <c r="D139" s="129"/>
      <c r="E139" s="129"/>
      <c r="F139" s="130"/>
    </row>
    <row r="140" spans="1:6">
      <c r="A140" s="4"/>
      <c r="B140" s="128"/>
      <c r="C140" s="129"/>
      <c r="D140" s="129"/>
      <c r="E140" s="129"/>
      <c r="F140" s="130"/>
    </row>
    <row r="141" spans="1:6">
      <c r="A141" s="4"/>
      <c r="B141" s="128"/>
      <c r="C141" s="129"/>
      <c r="D141" s="129"/>
      <c r="E141" s="129"/>
      <c r="F141" s="130"/>
    </row>
    <row r="142" spans="1:6">
      <c r="A142" s="4"/>
      <c r="B142" s="128"/>
      <c r="C142" s="129"/>
      <c r="D142" s="129"/>
      <c r="E142" s="129"/>
      <c r="F142" s="130"/>
    </row>
    <row r="143" spans="1:6">
      <c r="A143" s="4"/>
      <c r="B143" s="128"/>
      <c r="C143" s="129"/>
      <c r="D143" s="129"/>
      <c r="E143" s="129"/>
      <c r="F143" s="130"/>
    </row>
    <row r="144" spans="1:6">
      <c r="A144" s="4"/>
      <c r="B144" s="128"/>
      <c r="C144" s="129"/>
      <c r="D144" s="129"/>
      <c r="E144" s="129"/>
      <c r="F144" s="130"/>
    </row>
    <row r="145" spans="1:6">
      <c r="A145" s="4"/>
      <c r="B145" s="128"/>
      <c r="C145" s="129"/>
      <c r="D145" s="129"/>
      <c r="E145" s="129"/>
      <c r="F145" s="130"/>
    </row>
    <row r="146" spans="1:6">
      <c r="A146" s="4"/>
      <c r="B146" s="128"/>
      <c r="C146" s="129"/>
      <c r="D146" s="129"/>
      <c r="E146" s="129"/>
      <c r="F146" s="130"/>
    </row>
    <row r="147" spans="1:6">
      <c r="A147" s="4"/>
      <c r="B147" s="128"/>
      <c r="C147" s="129"/>
      <c r="D147" s="129"/>
      <c r="E147" s="129"/>
      <c r="F147" s="130"/>
    </row>
    <row r="148" spans="1:6">
      <c r="A148" s="4"/>
      <c r="B148" s="128"/>
      <c r="C148" s="129"/>
      <c r="D148" s="129"/>
      <c r="E148" s="129"/>
      <c r="F148" s="130"/>
    </row>
    <row r="149" spans="1:6">
      <c r="A149" s="4"/>
      <c r="B149" s="128"/>
      <c r="C149" s="129"/>
      <c r="D149" s="129"/>
      <c r="E149" s="129"/>
      <c r="F149" s="130"/>
    </row>
    <row r="150" spans="1:6">
      <c r="A150" s="4"/>
      <c r="B150" s="128"/>
      <c r="C150" s="129"/>
      <c r="D150" s="129"/>
      <c r="E150" s="129"/>
      <c r="F150" s="130"/>
    </row>
    <row r="151" spans="1:6">
      <c r="A151" s="4"/>
      <c r="B151" s="128"/>
      <c r="C151" s="129"/>
      <c r="D151" s="129"/>
      <c r="E151" s="129"/>
      <c r="F151" s="130"/>
    </row>
    <row r="152" spans="1:6">
      <c r="A152" s="4"/>
      <c r="B152" s="128"/>
      <c r="C152" s="129"/>
      <c r="D152" s="129"/>
      <c r="E152" s="129"/>
      <c r="F152" s="130"/>
    </row>
    <row r="153" spans="1:6">
      <c r="A153" s="4"/>
      <c r="B153" s="128"/>
      <c r="C153" s="129"/>
      <c r="D153" s="129"/>
      <c r="E153" s="129"/>
      <c r="F153" s="130"/>
    </row>
    <row r="154" spans="1:6">
      <c r="A154" s="4"/>
      <c r="B154" s="128"/>
      <c r="C154" s="129"/>
      <c r="D154" s="129"/>
      <c r="E154" s="129"/>
      <c r="F154" s="130"/>
    </row>
    <row r="155" spans="1:6">
      <c r="A155" s="4"/>
      <c r="B155" s="128"/>
      <c r="C155" s="129"/>
      <c r="D155" s="129"/>
      <c r="E155" s="129"/>
      <c r="F155" s="130"/>
    </row>
    <row r="156" spans="1:6">
      <c r="A156" s="4"/>
      <c r="B156" s="128"/>
      <c r="C156" s="129"/>
      <c r="D156" s="129"/>
      <c r="E156" s="129"/>
      <c r="F156" s="130"/>
    </row>
    <row r="157" spans="1:6">
      <c r="A157" s="4"/>
      <c r="B157" s="128"/>
      <c r="C157" s="129"/>
      <c r="D157" s="129"/>
      <c r="E157" s="129"/>
      <c r="F157" s="130"/>
    </row>
    <row r="158" spans="1:6">
      <c r="A158" s="4"/>
      <c r="B158" s="128"/>
      <c r="C158" s="129"/>
      <c r="D158" s="129"/>
      <c r="E158" s="129"/>
      <c r="F158" s="130"/>
    </row>
    <row r="159" spans="1:6">
      <c r="A159" s="4"/>
      <c r="B159" s="128"/>
      <c r="C159" s="129"/>
      <c r="D159" s="129"/>
      <c r="E159" s="129"/>
      <c r="F159" s="130"/>
    </row>
    <row r="160" spans="1:6">
      <c r="A160" s="4"/>
      <c r="B160" s="128"/>
      <c r="C160" s="129"/>
      <c r="D160" s="129"/>
      <c r="E160" s="129"/>
      <c r="F160" s="130"/>
    </row>
    <row r="161" spans="1:6">
      <c r="A161" s="4"/>
      <c r="B161" s="128"/>
      <c r="C161" s="129"/>
      <c r="D161" s="129"/>
      <c r="E161" s="129"/>
      <c r="F161" s="130"/>
    </row>
    <row r="162" spans="1:6">
      <c r="A162" s="4"/>
      <c r="B162" s="128"/>
      <c r="C162" s="129"/>
      <c r="D162" s="129"/>
      <c r="E162" s="129"/>
      <c r="F162" s="130"/>
    </row>
    <row r="163" spans="1:6">
      <c r="A163" s="4"/>
      <c r="B163" s="128"/>
      <c r="C163" s="129"/>
      <c r="D163" s="129"/>
      <c r="E163" s="129"/>
      <c r="F163" s="130"/>
    </row>
    <row r="164" spans="1:6">
      <c r="A164" s="4"/>
      <c r="B164" s="128"/>
      <c r="C164" s="129"/>
      <c r="D164" s="129"/>
      <c r="E164" s="129"/>
      <c r="F164" s="130"/>
    </row>
    <row r="165" spans="1:6">
      <c r="A165" s="4"/>
      <c r="B165" s="128"/>
      <c r="C165" s="129"/>
      <c r="D165" s="129"/>
      <c r="E165" s="129"/>
      <c r="F165" s="130"/>
    </row>
    <row r="166" spans="1:6">
      <c r="A166" s="4"/>
      <c r="B166" s="128"/>
      <c r="C166" s="129"/>
      <c r="D166" s="129"/>
      <c r="E166" s="129"/>
      <c r="F166" s="130"/>
    </row>
    <row r="167" spans="1:6">
      <c r="A167" s="4"/>
      <c r="B167" s="128"/>
      <c r="C167" s="129"/>
      <c r="D167" s="129"/>
      <c r="E167" s="129"/>
      <c r="F167" s="130"/>
    </row>
    <row r="168" spans="1:6">
      <c r="A168" s="4"/>
      <c r="B168" s="128"/>
      <c r="C168" s="129"/>
      <c r="D168" s="129"/>
      <c r="E168" s="129"/>
      <c r="F168" s="130"/>
    </row>
    <row r="169" spans="1:6">
      <c r="A169" s="4"/>
      <c r="B169" s="128"/>
      <c r="C169" s="129"/>
      <c r="D169" s="129"/>
      <c r="E169" s="129"/>
      <c r="F169" s="130"/>
    </row>
    <row r="170" spans="1:6">
      <c r="A170" s="4"/>
      <c r="B170" s="128"/>
      <c r="C170" s="129"/>
      <c r="D170" s="129"/>
      <c r="E170" s="129"/>
      <c r="F170" s="130"/>
    </row>
    <row r="171" spans="1:6">
      <c r="A171" s="4"/>
      <c r="B171" s="128"/>
      <c r="C171" s="129"/>
      <c r="D171" s="129"/>
      <c r="E171" s="129"/>
      <c r="F171" s="130"/>
    </row>
    <row r="172" spans="1:6">
      <c r="A172" s="4"/>
      <c r="B172" s="128"/>
      <c r="C172" s="129"/>
      <c r="D172" s="129"/>
      <c r="E172" s="129"/>
      <c r="F172" s="130"/>
    </row>
    <row r="173" spans="1:6">
      <c r="A173" s="4"/>
      <c r="B173" s="128"/>
      <c r="C173" s="129"/>
      <c r="D173" s="129"/>
      <c r="E173" s="129"/>
      <c r="F173" s="130"/>
    </row>
    <row r="174" spans="1:6">
      <c r="A174" s="4"/>
      <c r="B174" s="128"/>
      <c r="C174" s="129"/>
      <c r="D174" s="129"/>
      <c r="E174" s="129"/>
      <c r="F174" s="130"/>
    </row>
    <row r="175" spans="1:6">
      <c r="A175" s="4"/>
      <c r="B175" s="128"/>
      <c r="C175" s="129"/>
      <c r="D175" s="129"/>
      <c r="E175" s="129"/>
      <c r="F175" s="130"/>
    </row>
    <row r="176" spans="1:6">
      <c r="A176" s="4"/>
      <c r="B176" s="128"/>
      <c r="C176" s="129"/>
      <c r="D176" s="129"/>
      <c r="E176" s="129"/>
      <c r="F176" s="130"/>
    </row>
    <row r="177" spans="1:6">
      <c r="A177" s="4"/>
      <c r="B177" s="128"/>
      <c r="C177" s="129"/>
      <c r="D177" s="129"/>
      <c r="E177" s="129"/>
      <c r="F177" s="130"/>
    </row>
    <row r="178" spans="1:6">
      <c r="A178" s="4"/>
      <c r="B178" s="128"/>
      <c r="C178" s="129"/>
      <c r="D178" s="129"/>
      <c r="E178" s="129"/>
      <c r="F178" s="130"/>
    </row>
    <row r="179" spans="1:6">
      <c r="A179" s="4"/>
      <c r="B179" s="128"/>
      <c r="C179" s="129"/>
      <c r="D179" s="129"/>
      <c r="E179" s="129"/>
      <c r="F179" s="130"/>
    </row>
    <row r="180" spans="1:6">
      <c r="A180" s="4"/>
      <c r="B180" s="128"/>
      <c r="C180" s="129"/>
      <c r="D180" s="129"/>
      <c r="E180" s="129"/>
      <c r="F180" s="130"/>
    </row>
    <row r="181" spans="1:6">
      <c r="A181" s="4"/>
      <c r="B181" s="128"/>
      <c r="C181" s="129"/>
      <c r="D181" s="129"/>
      <c r="E181" s="129"/>
      <c r="F181" s="130"/>
    </row>
    <row r="182" spans="1:6">
      <c r="A182" s="4"/>
      <c r="B182" s="128"/>
      <c r="C182" s="129"/>
      <c r="D182" s="129"/>
      <c r="E182" s="129"/>
      <c r="F182" s="130"/>
    </row>
    <row r="183" spans="1:6">
      <c r="A183" s="4"/>
      <c r="B183" s="128"/>
      <c r="C183" s="129"/>
      <c r="D183" s="129"/>
      <c r="E183" s="129"/>
      <c r="F183" s="130"/>
    </row>
    <row r="184" spans="1:6">
      <c r="A184" s="4"/>
      <c r="B184" s="128"/>
      <c r="C184" s="129"/>
      <c r="D184" s="129"/>
      <c r="E184" s="129"/>
      <c r="F184" s="130"/>
    </row>
    <row r="185" spans="1:6">
      <c r="A185" s="4"/>
      <c r="B185" s="128"/>
      <c r="C185" s="129"/>
      <c r="D185" s="129"/>
      <c r="E185" s="129"/>
      <c r="F185" s="130"/>
    </row>
    <row r="186" spans="1:6">
      <c r="A186" s="4"/>
      <c r="B186" s="128"/>
      <c r="C186" s="129"/>
      <c r="D186" s="129"/>
      <c r="E186" s="129"/>
      <c r="F186" s="130"/>
    </row>
    <row r="187" spans="1:6">
      <c r="A187" s="4"/>
      <c r="B187" s="128"/>
      <c r="C187" s="129"/>
      <c r="D187" s="129"/>
      <c r="E187" s="129"/>
      <c r="F187" s="130"/>
    </row>
    <row r="188" spans="1:6">
      <c r="A188" s="4"/>
      <c r="B188" s="128"/>
      <c r="C188" s="129"/>
      <c r="D188" s="129"/>
      <c r="E188" s="129"/>
      <c r="F188" s="130"/>
    </row>
    <row r="189" spans="1:6">
      <c r="A189" s="4"/>
      <c r="B189" s="128"/>
      <c r="C189" s="129"/>
      <c r="D189" s="129"/>
      <c r="E189" s="129"/>
      <c r="F189" s="130"/>
    </row>
    <row r="190" spans="1:6">
      <c r="A190" s="4"/>
      <c r="B190" s="128"/>
      <c r="C190" s="129"/>
      <c r="D190" s="129"/>
      <c r="E190" s="129"/>
      <c r="F190" s="130"/>
    </row>
    <row r="191" spans="1:6">
      <c r="A191" s="4"/>
      <c r="B191" s="128"/>
      <c r="C191" s="129"/>
      <c r="D191" s="129"/>
      <c r="E191" s="129"/>
      <c r="F191" s="130"/>
    </row>
    <row r="192" spans="1:6">
      <c r="A192" s="4"/>
      <c r="B192" s="128"/>
      <c r="C192" s="129"/>
      <c r="D192" s="129"/>
      <c r="E192" s="129"/>
      <c r="F192" s="130"/>
    </row>
    <row r="193" spans="1:6">
      <c r="A193" s="4"/>
      <c r="B193" s="128"/>
      <c r="C193" s="129"/>
      <c r="D193" s="129"/>
      <c r="E193" s="129"/>
      <c r="F193" s="130"/>
    </row>
    <row r="194" spans="1:6">
      <c r="A194" s="4"/>
      <c r="B194" s="128"/>
      <c r="C194" s="129"/>
      <c r="D194" s="129"/>
      <c r="E194" s="129"/>
      <c r="F194" s="130"/>
    </row>
    <row r="195" spans="1:6">
      <c r="A195" s="4"/>
      <c r="B195" s="128"/>
      <c r="C195" s="129"/>
      <c r="D195" s="129"/>
      <c r="E195" s="129"/>
      <c r="F195" s="130"/>
    </row>
    <row r="196" spans="1:6">
      <c r="A196" s="4"/>
      <c r="B196" s="128"/>
      <c r="C196" s="129"/>
      <c r="D196" s="129"/>
      <c r="E196" s="129"/>
      <c r="F196" s="130"/>
    </row>
    <row r="197" spans="1:6">
      <c r="A197" s="4"/>
      <c r="B197" s="128"/>
      <c r="C197" s="129"/>
      <c r="D197" s="129"/>
      <c r="E197" s="129"/>
      <c r="F197" s="130"/>
    </row>
    <row r="198" spans="1:6">
      <c r="A198" s="4"/>
      <c r="B198" s="128"/>
      <c r="C198" s="129"/>
      <c r="D198" s="129"/>
      <c r="E198" s="129"/>
      <c r="F198" s="130"/>
    </row>
    <row r="199" spans="1:6">
      <c r="A199" s="4"/>
      <c r="B199" s="128"/>
      <c r="C199" s="129"/>
      <c r="D199" s="129"/>
      <c r="E199" s="129"/>
      <c r="F199" s="130"/>
    </row>
    <row r="200" spans="1:6">
      <c r="A200" s="4"/>
      <c r="B200" s="128"/>
      <c r="C200" s="129"/>
      <c r="D200" s="129"/>
      <c r="E200" s="129"/>
      <c r="F200" s="130"/>
    </row>
    <row r="201" spans="1:6">
      <c r="A201" s="4"/>
      <c r="B201" s="128"/>
      <c r="C201" s="129"/>
      <c r="D201" s="129"/>
      <c r="E201" s="129"/>
      <c r="F201" s="130"/>
    </row>
    <row r="202" spans="1:6">
      <c r="A202" s="4"/>
      <c r="B202" s="128"/>
      <c r="C202" s="129"/>
      <c r="D202" s="129"/>
      <c r="E202" s="129"/>
      <c r="F202" s="130"/>
    </row>
  </sheetData>
  <sheetProtection sheet="1" objects="1" scenarios="1"/>
  <mergeCells count="202">
    <mergeCell ref="A1:F1"/>
    <mergeCell ref="B2:F2"/>
    <mergeCell ref="B8:F8"/>
    <mergeCell ref="B6:F6"/>
    <mergeCell ref="B7:F7"/>
    <mergeCell ref="B4:F4"/>
    <mergeCell ref="B33:F33"/>
    <mergeCell ref="B34:F34"/>
    <mergeCell ref="B35:F35"/>
    <mergeCell ref="B29:F29"/>
    <mergeCell ref="B30:F30"/>
    <mergeCell ref="B31:F31"/>
    <mergeCell ref="B32:F32"/>
    <mergeCell ref="B5:F5"/>
    <mergeCell ref="B3:F3"/>
    <mergeCell ref="B13:F13"/>
    <mergeCell ref="B24:F24"/>
    <mergeCell ref="B20:F20"/>
    <mergeCell ref="B21:F21"/>
    <mergeCell ref="B22:F22"/>
    <mergeCell ref="B23:F23"/>
    <mergeCell ref="B9:F9"/>
    <mergeCell ref="B10:F10"/>
    <mergeCell ref="B11:F11"/>
    <mergeCell ref="B12:F12"/>
    <mergeCell ref="B43:F43"/>
    <mergeCell ref="B44:F44"/>
    <mergeCell ref="B45:F45"/>
    <mergeCell ref="B46:F46"/>
    <mergeCell ref="B19:F19"/>
    <mergeCell ref="B16:F16"/>
    <mergeCell ref="B17:F17"/>
    <mergeCell ref="B18:F18"/>
    <mergeCell ref="B14:F14"/>
    <mergeCell ref="B15:F15"/>
    <mergeCell ref="B25:F25"/>
    <mergeCell ref="B26:F26"/>
    <mergeCell ref="B27:F27"/>
    <mergeCell ref="B28:F28"/>
    <mergeCell ref="B36:F36"/>
    <mergeCell ref="B41:F41"/>
    <mergeCell ref="B42:F42"/>
    <mergeCell ref="B37:F37"/>
    <mergeCell ref="B38:F38"/>
    <mergeCell ref="B39:F39"/>
    <mergeCell ref="B40:F40"/>
    <mergeCell ref="B53:F53"/>
    <mergeCell ref="B54:F54"/>
    <mergeCell ref="B55:F55"/>
    <mergeCell ref="B56:F56"/>
    <mergeCell ref="B57:F57"/>
    <mergeCell ref="B58:F58"/>
    <mergeCell ref="B47:F47"/>
    <mergeCell ref="B48:F48"/>
    <mergeCell ref="B49:F49"/>
    <mergeCell ref="B50:F50"/>
    <mergeCell ref="B51:F51"/>
    <mergeCell ref="B52:F52"/>
    <mergeCell ref="B65:F65"/>
    <mergeCell ref="B66:F66"/>
    <mergeCell ref="B67:F67"/>
    <mergeCell ref="B68:F68"/>
    <mergeCell ref="B69:F69"/>
    <mergeCell ref="B70:F70"/>
    <mergeCell ref="B59:F59"/>
    <mergeCell ref="B60:F60"/>
    <mergeCell ref="B61:F61"/>
    <mergeCell ref="B62:F62"/>
    <mergeCell ref="B63:F63"/>
    <mergeCell ref="B64:F64"/>
    <mergeCell ref="B77:F77"/>
    <mergeCell ref="B78:F78"/>
    <mergeCell ref="B79:F79"/>
    <mergeCell ref="B80:F80"/>
    <mergeCell ref="B81:F81"/>
    <mergeCell ref="B82:F82"/>
    <mergeCell ref="B71:F71"/>
    <mergeCell ref="B72:F72"/>
    <mergeCell ref="B73:F73"/>
    <mergeCell ref="B74:F74"/>
    <mergeCell ref="B75:F75"/>
    <mergeCell ref="B76:F76"/>
    <mergeCell ref="B89:F89"/>
    <mergeCell ref="B90:F90"/>
    <mergeCell ref="B91:F91"/>
    <mergeCell ref="B92:F92"/>
    <mergeCell ref="B93:F93"/>
    <mergeCell ref="B94:F94"/>
    <mergeCell ref="B83:F83"/>
    <mergeCell ref="B84:F84"/>
    <mergeCell ref="B85:F85"/>
    <mergeCell ref="B86:F86"/>
    <mergeCell ref="B87:F87"/>
    <mergeCell ref="B88:F88"/>
    <mergeCell ref="B101:F101"/>
    <mergeCell ref="B102:F102"/>
    <mergeCell ref="B103:F103"/>
    <mergeCell ref="B104:F104"/>
    <mergeCell ref="B105:F105"/>
    <mergeCell ref="B106:F106"/>
    <mergeCell ref="B95:F95"/>
    <mergeCell ref="B96:F96"/>
    <mergeCell ref="B97:F97"/>
    <mergeCell ref="B98:F98"/>
    <mergeCell ref="B99:F99"/>
    <mergeCell ref="B100:F100"/>
    <mergeCell ref="B113:F113"/>
    <mergeCell ref="B114:F114"/>
    <mergeCell ref="B115:F115"/>
    <mergeCell ref="B116:F116"/>
    <mergeCell ref="B117:F117"/>
    <mergeCell ref="B118:F118"/>
    <mergeCell ref="B107:F107"/>
    <mergeCell ref="B108:F108"/>
    <mergeCell ref="B109:F109"/>
    <mergeCell ref="B110:F110"/>
    <mergeCell ref="B111:F111"/>
    <mergeCell ref="B112:F112"/>
    <mergeCell ref="B125:F125"/>
    <mergeCell ref="B126:F126"/>
    <mergeCell ref="B127:F127"/>
    <mergeCell ref="B128:F128"/>
    <mergeCell ref="B129:F129"/>
    <mergeCell ref="B130:F130"/>
    <mergeCell ref="B119:F119"/>
    <mergeCell ref="B120:F120"/>
    <mergeCell ref="B121:F121"/>
    <mergeCell ref="B122:F122"/>
    <mergeCell ref="B123:F123"/>
    <mergeCell ref="B124:F124"/>
    <mergeCell ref="B137:F137"/>
    <mergeCell ref="B138:F138"/>
    <mergeCell ref="B139:F139"/>
    <mergeCell ref="B140:F140"/>
    <mergeCell ref="B141:F141"/>
    <mergeCell ref="B142:F142"/>
    <mergeCell ref="B131:F131"/>
    <mergeCell ref="B132:F132"/>
    <mergeCell ref="B133:F133"/>
    <mergeCell ref="B134:F134"/>
    <mergeCell ref="B135:F135"/>
    <mergeCell ref="B136:F136"/>
    <mergeCell ref="B149:F149"/>
    <mergeCell ref="B150:F150"/>
    <mergeCell ref="B151:F151"/>
    <mergeCell ref="B152:F152"/>
    <mergeCell ref="B153:F153"/>
    <mergeCell ref="B154:F154"/>
    <mergeCell ref="B143:F143"/>
    <mergeCell ref="B144:F144"/>
    <mergeCell ref="B145:F145"/>
    <mergeCell ref="B146:F146"/>
    <mergeCell ref="B147:F147"/>
    <mergeCell ref="B148:F148"/>
    <mergeCell ref="B161:F161"/>
    <mergeCell ref="B162:F162"/>
    <mergeCell ref="B163:F163"/>
    <mergeCell ref="B164:F164"/>
    <mergeCell ref="B165:F165"/>
    <mergeCell ref="B166:F166"/>
    <mergeCell ref="B155:F155"/>
    <mergeCell ref="B156:F156"/>
    <mergeCell ref="B157:F157"/>
    <mergeCell ref="B158:F158"/>
    <mergeCell ref="B159:F159"/>
    <mergeCell ref="B160:F160"/>
    <mergeCell ref="B173:F173"/>
    <mergeCell ref="B174:F174"/>
    <mergeCell ref="B175:F175"/>
    <mergeCell ref="B176:F176"/>
    <mergeCell ref="B177:F177"/>
    <mergeCell ref="B178:F178"/>
    <mergeCell ref="B167:F167"/>
    <mergeCell ref="B168:F168"/>
    <mergeCell ref="B169:F169"/>
    <mergeCell ref="B170:F170"/>
    <mergeCell ref="B171:F171"/>
    <mergeCell ref="B172:F172"/>
    <mergeCell ref="B185:F185"/>
    <mergeCell ref="B186:F186"/>
    <mergeCell ref="B187:F187"/>
    <mergeCell ref="B188:F188"/>
    <mergeCell ref="B189:F189"/>
    <mergeCell ref="B190:F190"/>
    <mergeCell ref="B179:F179"/>
    <mergeCell ref="B180:F180"/>
    <mergeCell ref="B181:F181"/>
    <mergeCell ref="B182:F182"/>
    <mergeCell ref="B183:F183"/>
    <mergeCell ref="B184:F184"/>
    <mergeCell ref="B197:F197"/>
    <mergeCell ref="B198:F198"/>
    <mergeCell ref="B199:F199"/>
    <mergeCell ref="B200:F200"/>
    <mergeCell ref="B201:F201"/>
    <mergeCell ref="B202:F202"/>
    <mergeCell ref="B191:F191"/>
    <mergeCell ref="B192:F192"/>
    <mergeCell ref="B193:F193"/>
    <mergeCell ref="B194:F194"/>
    <mergeCell ref="B195:F195"/>
    <mergeCell ref="B196:F196"/>
  </mergeCells>
  <phoneticPr fontId="0" type="noConversion"/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06"/>
  <sheetViews>
    <sheetView workbookViewId="0">
      <selection activeCell="A19" sqref="A19"/>
    </sheetView>
  </sheetViews>
  <sheetFormatPr defaultRowHeight="12.75"/>
  <cols>
    <col min="1" max="1" width="30.85546875" customWidth="1"/>
    <col min="2" max="2" width="12" customWidth="1"/>
    <col min="3" max="3" width="10.5703125" customWidth="1"/>
    <col min="4" max="4" width="10.7109375" customWidth="1"/>
    <col min="5" max="5" width="12.5703125" customWidth="1"/>
    <col min="6" max="6" width="19.42578125" customWidth="1"/>
    <col min="7" max="7" width="22.85546875" customWidth="1"/>
  </cols>
  <sheetData>
    <row r="1" spans="1:7">
      <c r="A1" s="5" t="s">
        <v>102</v>
      </c>
    </row>
    <row r="2" spans="1:7" s="3" customFormat="1" ht="15.75">
      <c r="A2" s="141" t="s">
        <v>58</v>
      </c>
      <c r="B2" s="142"/>
      <c r="C2" s="142"/>
      <c r="D2" s="142"/>
      <c r="E2" s="142"/>
      <c r="F2" s="142"/>
      <c r="G2" s="143"/>
    </row>
    <row r="3" spans="1:7" s="18" customFormat="1" ht="19.5" customHeight="1">
      <c r="A3" s="16" t="s">
        <v>59</v>
      </c>
      <c r="B3" s="7" t="s">
        <v>60</v>
      </c>
      <c r="C3" s="15" t="s">
        <v>61</v>
      </c>
      <c r="D3" s="7" t="s">
        <v>62</v>
      </c>
      <c r="E3" s="15" t="s">
        <v>63</v>
      </c>
      <c r="F3" s="8" t="s">
        <v>64</v>
      </c>
      <c r="G3" s="9" t="s">
        <v>65</v>
      </c>
    </row>
    <row r="4" spans="1:7" s="3" customFormat="1">
      <c r="A4" s="17" t="str">
        <f>IF(BasicInfo!$A3= "", "",BasicInfo!$A3)</f>
        <v/>
      </c>
      <c r="B4" s="4"/>
      <c r="C4" s="4"/>
      <c r="D4" s="4"/>
      <c r="E4" s="7" t="str">
        <f>IF((B4+4*C4+D4)/6 =0,"",(B4+4*C4+D4)/6)</f>
        <v/>
      </c>
      <c r="F4" s="8" t="str">
        <f>IF(E4&lt;&gt;"",((D4-B4)/6)/E4,"")</f>
        <v/>
      </c>
      <c r="G4" s="10" t="str">
        <f>IF(E4="","0",E4)</f>
        <v>0</v>
      </c>
    </row>
    <row r="5" spans="1:7" s="6" customFormat="1">
      <c r="A5" s="17" t="str">
        <f>IF(BasicInfo!$A4= "", "",BasicInfo!$A4)</f>
        <v/>
      </c>
      <c r="B5" s="4"/>
      <c r="C5" s="4"/>
      <c r="D5" s="4"/>
      <c r="E5" s="7" t="str">
        <f t="shared" ref="E5:E68" si="0">IF((B5+4*C5+D5)/6 =0,"",(B5+4*C5+D5)/6)</f>
        <v/>
      </c>
      <c r="F5" s="8" t="str">
        <f t="shared" ref="F5:F68" si="1">IF(E5&lt;&gt;"",((D5-B5)/6)/E5,"")</f>
        <v/>
      </c>
      <c r="G5" s="10" t="str">
        <f t="shared" ref="G5:G68" si="2">IF(E5="","0",E5)</f>
        <v>0</v>
      </c>
    </row>
    <row r="6" spans="1:7" s="6" customFormat="1">
      <c r="A6" s="17" t="str">
        <f>IF(BasicInfo!$A5= "", "",BasicInfo!$A5)</f>
        <v/>
      </c>
      <c r="B6" s="4"/>
      <c r="C6" s="4"/>
      <c r="D6" s="4"/>
      <c r="E6" s="7" t="str">
        <f t="shared" si="0"/>
        <v/>
      </c>
      <c r="F6" s="8" t="str">
        <f t="shared" si="1"/>
        <v/>
      </c>
      <c r="G6" s="10" t="str">
        <f t="shared" si="2"/>
        <v>0</v>
      </c>
    </row>
    <row r="7" spans="1:7" s="6" customFormat="1">
      <c r="A7" s="17" t="str">
        <f>IF(BasicInfo!$A6= "", "",BasicInfo!$A6)</f>
        <v/>
      </c>
      <c r="B7" s="4"/>
      <c r="C7" s="4"/>
      <c r="D7" s="4"/>
      <c r="E7" s="7" t="str">
        <f t="shared" si="0"/>
        <v/>
      </c>
      <c r="F7" s="8" t="str">
        <f t="shared" si="1"/>
        <v/>
      </c>
      <c r="G7" s="10" t="str">
        <f t="shared" si="2"/>
        <v>0</v>
      </c>
    </row>
    <row r="8" spans="1:7">
      <c r="A8" s="17" t="str">
        <f>IF(BasicInfo!$A7= "", "",BasicInfo!$A7)</f>
        <v/>
      </c>
      <c r="B8" s="4"/>
      <c r="C8" s="4"/>
      <c r="D8" s="4"/>
      <c r="E8" s="7" t="str">
        <f t="shared" si="0"/>
        <v/>
      </c>
      <c r="F8" s="8" t="str">
        <f t="shared" si="1"/>
        <v/>
      </c>
      <c r="G8" s="10" t="str">
        <f t="shared" si="2"/>
        <v>0</v>
      </c>
    </row>
    <row r="9" spans="1:7">
      <c r="A9" s="17" t="str">
        <f>IF(BasicInfo!$A8= "", "",BasicInfo!$A8)</f>
        <v/>
      </c>
      <c r="B9" s="4"/>
      <c r="C9" s="4"/>
      <c r="D9" s="4"/>
      <c r="E9" s="7" t="str">
        <f t="shared" si="0"/>
        <v/>
      </c>
      <c r="F9" s="8" t="str">
        <f t="shared" si="1"/>
        <v/>
      </c>
      <c r="G9" s="10" t="str">
        <f t="shared" si="2"/>
        <v>0</v>
      </c>
    </row>
    <row r="10" spans="1:7">
      <c r="A10" s="17" t="str">
        <f>IF(BasicInfo!$A9= "", "",BasicInfo!$A9)</f>
        <v/>
      </c>
      <c r="B10" s="4"/>
      <c r="C10" s="4"/>
      <c r="D10" s="4"/>
      <c r="E10" s="7" t="str">
        <f t="shared" si="0"/>
        <v/>
      </c>
      <c r="F10" s="8" t="str">
        <f t="shared" si="1"/>
        <v/>
      </c>
      <c r="G10" s="10" t="str">
        <f t="shared" si="2"/>
        <v>0</v>
      </c>
    </row>
    <row r="11" spans="1:7">
      <c r="A11" s="17" t="str">
        <f>IF(BasicInfo!$A10= "", "",BasicInfo!$A10)</f>
        <v/>
      </c>
      <c r="B11" s="4"/>
      <c r="C11" s="4"/>
      <c r="D11" s="4"/>
      <c r="E11" s="7" t="str">
        <f t="shared" si="0"/>
        <v/>
      </c>
      <c r="F11" s="8" t="str">
        <f t="shared" si="1"/>
        <v/>
      </c>
      <c r="G11" s="10" t="str">
        <f t="shared" si="2"/>
        <v>0</v>
      </c>
    </row>
    <row r="12" spans="1:7">
      <c r="A12" s="17" t="str">
        <f>IF(BasicInfo!$A11= "", "",BasicInfo!$A11)</f>
        <v/>
      </c>
      <c r="B12" s="4"/>
      <c r="C12" s="4"/>
      <c r="D12" s="4"/>
      <c r="E12" s="7" t="str">
        <f t="shared" si="0"/>
        <v/>
      </c>
      <c r="F12" s="8" t="str">
        <f t="shared" si="1"/>
        <v/>
      </c>
      <c r="G12" s="10" t="str">
        <f t="shared" si="2"/>
        <v>0</v>
      </c>
    </row>
    <row r="13" spans="1:7">
      <c r="A13" s="17" t="str">
        <f>IF(BasicInfo!$A12= "", "",BasicInfo!$A12)</f>
        <v/>
      </c>
      <c r="B13" s="4"/>
      <c r="C13" s="4"/>
      <c r="D13" s="4"/>
      <c r="E13" s="7" t="str">
        <f t="shared" si="0"/>
        <v/>
      </c>
      <c r="F13" s="8" t="str">
        <f t="shared" si="1"/>
        <v/>
      </c>
      <c r="G13" s="10" t="str">
        <f t="shared" si="2"/>
        <v>0</v>
      </c>
    </row>
    <row r="14" spans="1:7">
      <c r="A14" s="17" t="str">
        <f>IF(BasicInfo!$A13= "", "",BasicInfo!$A13)</f>
        <v/>
      </c>
      <c r="B14" s="4"/>
      <c r="C14" s="4"/>
      <c r="D14" s="4"/>
      <c r="E14" s="7" t="str">
        <f t="shared" si="0"/>
        <v/>
      </c>
      <c r="F14" s="8" t="str">
        <f t="shared" si="1"/>
        <v/>
      </c>
      <c r="G14" s="10" t="str">
        <f t="shared" si="2"/>
        <v>0</v>
      </c>
    </row>
    <row r="15" spans="1:7">
      <c r="A15" s="17" t="str">
        <f>IF(BasicInfo!$A14= "", "",BasicInfo!$A14)</f>
        <v/>
      </c>
      <c r="B15" s="4"/>
      <c r="C15" s="4"/>
      <c r="D15" s="4"/>
      <c r="E15" s="7" t="str">
        <f t="shared" si="0"/>
        <v/>
      </c>
      <c r="F15" s="8" t="str">
        <f t="shared" si="1"/>
        <v/>
      </c>
      <c r="G15" s="10" t="str">
        <f t="shared" si="2"/>
        <v>0</v>
      </c>
    </row>
    <row r="16" spans="1:7">
      <c r="A16" s="17" t="str">
        <f>IF(BasicInfo!$A15= "", "",BasicInfo!$A15)</f>
        <v/>
      </c>
      <c r="B16" s="4"/>
      <c r="C16" s="4"/>
      <c r="D16" s="4"/>
      <c r="E16" s="7" t="str">
        <f t="shared" si="0"/>
        <v/>
      </c>
      <c r="F16" s="8" t="str">
        <f t="shared" si="1"/>
        <v/>
      </c>
      <c r="G16" s="10" t="str">
        <f t="shared" si="2"/>
        <v>0</v>
      </c>
    </row>
    <row r="17" spans="1:7">
      <c r="A17" s="17" t="str">
        <f>IF(BasicInfo!$A16= "", "",BasicInfo!$A16)</f>
        <v/>
      </c>
      <c r="B17" s="4"/>
      <c r="C17" s="4"/>
      <c r="D17" s="4"/>
      <c r="E17" s="7" t="str">
        <f t="shared" si="0"/>
        <v/>
      </c>
      <c r="F17" s="8" t="str">
        <f t="shared" si="1"/>
        <v/>
      </c>
      <c r="G17" s="10" t="str">
        <f t="shared" si="2"/>
        <v>0</v>
      </c>
    </row>
    <row r="18" spans="1:7">
      <c r="A18" s="17" t="str">
        <f>IF(BasicInfo!$A17= "", "",BasicInfo!$A17)</f>
        <v/>
      </c>
      <c r="B18" s="4"/>
      <c r="C18" s="4"/>
      <c r="D18" s="4"/>
      <c r="E18" s="7" t="str">
        <f t="shared" si="0"/>
        <v/>
      </c>
      <c r="F18" s="8" t="str">
        <f t="shared" si="1"/>
        <v/>
      </c>
      <c r="G18" s="10" t="str">
        <f t="shared" si="2"/>
        <v>0</v>
      </c>
    </row>
    <row r="19" spans="1:7">
      <c r="A19" s="17" t="str">
        <f>IF(BasicInfo!$A18= "", "",BasicInfo!$A18)</f>
        <v/>
      </c>
      <c r="B19" s="4"/>
      <c r="C19" s="4"/>
      <c r="D19" s="4"/>
      <c r="E19" s="7" t="str">
        <f t="shared" si="0"/>
        <v/>
      </c>
      <c r="F19" s="8" t="str">
        <f t="shared" si="1"/>
        <v/>
      </c>
      <c r="G19" s="10" t="str">
        <f t="shared" si="2"/>
        <v>0</v>
      </c>
    </row>
    <row r="20" spans="1:7">
      <c r="A20" s="17" t="str">
        <f>IF(BasicInfo!$A19= "", "",BasicInfo!$A19)</f>
        <v/>
      </c>
      <c r="B20" s="4"/>
      <c r="C20" s="4"/>
      <c r="D20" s="4"/>
      <c r="E20" s="7" t="str">
        <f t="shared" si="0"/>
        <v/>
      </c>
      <c r="F20" s="8" t="str">
        <f t="shared" si="1"/>
        <v/>
      </c>
      <c r="G20" s="10" t="str">
        <f t="shared" si="2"/>
        <v>0</v>
      </c>
    </row>
    <row r="21" spans="1:7">
      <c r="A21" s="17" t="str">
        <f>IF(BasicInfo!$A20= "", "",BasicInfo!$A20)</f>
        <v/>
      </c>
      <c r="B21" s="4"/>
      <c r="C21" s="4"/>
      <c r="D21" s="4"/>
      <c r="E21" s="7" t="str">
        <f t="shared" si="0"/>
        <v/>
      </c>
      <c r="F21" s="8" t="str">
        <f t="shared" si="1"/>
        <v/>
      </c>
      <c r="G21" s="10" t="str">
        <f t="shared" si="2"/>
        <v>0</v>
      </c>
    </row>
    <row r="22" spans="1:7">
      <c r="A22" s="17" t="str">
        <f>IF(BasicInfo!$A21= "", "",BasicInfo!$A21)</f>
        <v/>
      </c>
      <c r="B22" s="4"/>
      <c r="C22" s="4"/>
      <c r="D22" s="4"/>
      <c r="E22" s="7" t="str">
        <f t="shared" si="0"/>
        <v/>
      </c>
      <c r="F22" s="8" t="str">
        <f t="shared" si="1"/>
        <v/>
      </c>
      <c r="G22" s="10" t="str">
        <f t="shared" si="2"/>
        <v>0</v>
      </c>
    </row>
    <row r="23" spans="1:7">
      <c r="A23" s="17" t="str">
        <f>IF(BasicInfo!$A22= "", "",BasicInfo!$A22)</f>
        <v/>
      </c>
      <c r="B23" s="4"/>
      <c r="C23" s="4"/>
      <c r="D23" s="4"/>
      <c r="E23" s="7" t="str">
        <f t="shared" si="0"/>
        <v/>
      </c>
      <c r="F23" s="8" t="str">
        <f t="shared" si="1"/>
        <v/>
      </c>
      <c r="G23" s="10" t="str">
        <f t="shared" si="2"/>
        <v>0</v>
      </c>
    </row>
    <row r="24" spans="1:7">
      <c r="A24" s="17" t="str">
        <f>IF(BasicInfo!$A23= "", "",BasicInfo!$A23)</f>
        <v/>
      </c>
      <c r="B24" s="4"/>
      <c r="C24" s="4"/>
      <c r="D24" s="4"/>
      <c r="E24" s="7" t="str">
        <f t="shared" si="0"/>
        <v/>
      </c>
      <c r="F24" s="8" t="str">
        <f t="shared" si="1"/>
        <v/>
      </c>
      <c r="G24" s="10" t="str">
        <f t="shared" si="2"/>
        <v>0</v>
      </c>
    </row>
    <row r="25" spans="1:7">
      <c r="A25" s="17" t="str">
        <f>IF(BasicInfo!$A24= "", "",BasicInfo!$A24)</f>
        <v/>
      </c>
      <c r="B25" s="4"/>
      <c r="C25" s="4"/>
      <c r="D25" s="4"/>
      <c r="E25" s="7" t="str">
        <f t="shared" si="0"/>
        <v/>
      </c>
      <c r="F25" s="8" t="str">
        <f t="shared" si="1"/>
        <v/>
      </c>
      <c r="G25" s="10" t="str">
        <f t="shared" si="2"/>
        <v>0</v>
      </c>
    </row>
    <row r="26" spans="1:7">
      <c r="A26" s="17" t="str">
        <f>IF(BasicInfo!$A25= "", "",BasicInfo!$A25)</f>
        <v/>
      </c>
      <c r="B26" s="4"/>
      <c r="C26" s="4"/>
      <c r="D26" s="4"/>
      <c r="E26" s="7" t="str">
        <f t="shared" si="0"/>
        <v/>
      </c>
      <c r="F26" s="8" t="str">
        <f t="shared" si="1"/>
        <v/>
      </c>
      <c r="G26" s="10" t="str">
        <f t="shared" si="2"/>
        <v>0</v>
      </c>
    </row>
    <row r="27" spans="1:7">
      <c r="A27" s="17" t="str">
        <f>IF(BasicInfo!$A26= "", "",BasicInfo!$A26)</f>
        <v/>
      </c>
      <c r="B27" s="4"/>
      <c r="C27" s="4"/>
      <c r="D27" s="4"/>
      <c r="E27" s="7" t="str">
        <f t="shared" si="0"/>
        <v/>
      </c>
      <c r="F27" s="8" t="str">
        <f t="shared" si="1"/>
        <v/>
      </c>
      <c r="G27" s="10" t="str">
        <f t="shared" si="2"/>
        <v>0</v>
      </c>
    </row>
    <row r="28" spans="1:7">
      <c r="A28" s="17" t="str">
        <f>IF(BasicInfo!$A27= "", "",BasicInfo!$A27)</f>
        <v/>
      </c>
      <c r="B28" s="4"/>
      <c r="C28" s="4"/>
      <c r="D28" s="4"/>
      <c r="E28" s="7" t="str">
        <f t="shared" si="0"/>
        <v/>
      </c>
      <c r="F28" s="8" t="str">
        <f t="shared" si="1"/>
        <v/>
      </c>
      <c r="G28" s="10" t="str">
        <f t="shared" si="2"/>
        <v>0</v>
      </c>
    </row>
    <row r="29" spans="1:7">
      <c r="A29" s="17" t="str">
        <f>IF(BasicInfo!$A28= "", "",BasicInfo!$A28)</f>
        <v/>
      </c>
      <c r="B29" s="4"/>
      <c r="C29" s="4"/>
      <c r="D29" s="4"/>
      <c r="E29" s="7" t="str">
        <f t="shared" si="0"/>
        <v/>
      </c>
      <c r="F29" s="8" t="str">
        <f t="shared" si="1"/>
        <v/>
      </c>
      <c r="G29" s="10" t="str">
        <f t="shared" si="2"/>
        <v>0</v>
      </c>
    </row>
    <row r="30" spans="1:7">
      <c r="A30" s="17" t="str">
        <f>IF(BasicInfo!$A29= "", "",BasicInfo!$A29)</f>
        <v/>
      </c>
      <c r="B30" s="4"/>
      <c r="C30" s="4"/>
      <c r="D30" s="4"/>
      <c r="E30" s="7" t="str">
        <f t="shared" si="0"/>
        <v/>
      </c>
      <c r="F30" s="8" t="str">
        <f t="shared" si="1"/>
        <v/>
      </c>
      <c r="G30" s="10" t="str">
        <f t="shared" si="2"/>
        <v>0</v>
      </c>
    </row>
    <row r="31" spans="1:7">
      <c r="A31" s="17" t="str">
        <f>IF(BasicInfo!$A30= "", "",BasicInfo!$A30)</f>
        <v/>
      </c>
      <c r="B31" s="4"/>
      <c r="C31" s="4"/>
      <c r="D31" s="4"/>
      <c r="E31" s="7" t="str">
        <f t="shared" si="0"/>
        <v/>
      </c>
      <c r="F31" s="8" t="str">
        <f t="shared" si="1"/>
        <v/>
      </c>
      <c r="G31" s="10" t="str">
        <f t="shared" si="2"/>
        <v>0</v>
      </c>
    </row>
    <row r="32" spans="1:7">
      <c r="A32" s="17" t="str">
        <f>IF(BasicInfo!$A31= "", "",BasicInfo!$A31)</f>
        <v/>
      </c>
      <c r="B32" s="4"/>
      <c r="C32" s="4"/>
      <c r="D32" s="4"/>
      <c r="E32" s="7" t="str">
        <f t="shared" si="0"/>
        <v/>
      </c>
      <c r="F32" s="8" t="str">
        <f t="shared" si="1"/>
        <v/>
      </c>
      <c r="G32" s="10" t="str">
        <f t="shared" si="2"/>
        <v>0</v>
      </c>
    </row>
    <row r="33" spans="1:7">
      <c r="A33" s="17" t="str">
        <f>IF(BasicInfo!$A32= "", "",BasicInfo!$A32)</f>
        <v/>
      </c>
      <c r="B33" s="4"/>
      <c r="C33" s="4"/>
      <c r="D33" s="4"/>
      <c r="E33" s="7" t="str">
        <f t="shared" si="0"/>
        <v/>
      </c>
      <c r="F33" s="8" t="str">
        <f t="shared" si="1"/>
        <v/>
      </c>
      <c r="G33" s="10" t="str">
        <f t="shared" si="2"/>
        <v>0</v>
      </c>
    </row>
    <row r="34" spans="1:7">
      <c r="A34" s="17" t="str">
        <f>IF(BasicInfo!$A33= "", "",BasicInfo!$A33)</f>
        <v/>
      </c>
      <c r="B34" s="4"/>
      <c r="C34" s="4"/>
      <c r="D34" s="4"/>
      <c r="E34" s="7" t="str">
        <f t="shared" si="0"/>
        <v/>
      </c>
      <c r="F34" s="8" t="str">
        <f t="shared" si="1"/>
        <v/>
      </c>
      <c r="G34" s="10" t="str">
        <f t="shared" si="2"/>
        <v>0</v>
      </c>
    </row>
    <row r="35" spans="1:7">
      <c r="A35" s="17" t="str">
        <f>IF(BasicInfo!$A34= "", "",BasicInfo!$A34)</f>
        <v/>
      </c>
      <c r="B35" s="4"/>
      <c r="C35" s="4"/>
      <c r="D35" s="4"/>
      <c r="E35" s="7" t="str">
        <f t="shared" si="0"/>
        <v/>
      </c>
      <c r="F35" s="8" t="str">
        <f t="shared" si="1"/>
        <v/>
      </c>
      <c r="G35" s="10" t="str">
        <f t="shared" si="2"/>
        <v>0</v>
      </c>
    </row>
    <row r="36" spans="1:7">
      <c r="A36" s="17" t="str">
        <f>IF(BasicInfo!$A35= "", "",BasicInfo!$A35)</f>
        <v/>
      </c>
      <c r="B36" s="4"/>
      <c r="C36" s="4"/>
      <c r="D36" s="4"/>
      <c r="E36" s="7" t="str">
        <f t="shared" si="0"/>
        <v/>
      </c>
      <c r="F36" s="8" t="str">
        <f t="shared" si="1"/>
        <v/>
      </c>
      <c r="G36" s="10" t="str">
        <f t="shared" si="2"/>
        <v>0</v>
      </c>
    </row>
    <row r="37" spans="1:7">
      <c r="A37" s="17" t="str">
        <f>IF(BasicInfo!$A36= "", "",BasicInfo!$A36)</f>
        <v/>
      </c>
      <c r="B37" s="4"/>
      <c r="C37" s="4"/>
      <c r="D37" s="4"/>
      <c r="E37" s="7" t="str">
        <f t="shared" si="0"/>
        <v/>
      </c>
      <c r="F37" s="8" t="str">
        <f t="shared" si="1"/>
        <v/>
      </c>
      <c r="G37" s="10" t="str">
        <f t="shared" si="2"/>
        <v>0</v>
      </c>
    </row>
    <row r="38" spans="1:7">
      <c r="A38" s="17" t="str">
        <f>IF(BasicInfo!$A37= "", "",BasicInfo!$A37)</f>
        <v/>
      </c>
      <c r="B38" s="4"/>
      <c r="C38" s="4"/>
      <c r="D38" s="4"/>
      <c r="E38" s="7" t="str">
        <f t="shared" si="0"/>
        <v/>
      </c>
      <c r="F38" s="8" t="str">
        <f t="shared" si="1"/>
        <v/>
      </c>
      <c r="G38" s="10" t="str">
        <f t="shared" si="2"/>
        <v>0</v>
      </c>
    </row>
    <row r="39" spans="1:7">
      <c r="A39" s="17" t="str">
        <f>IF(BasicInfo!$A38= "", "",BasicInfo!$A38)</f>
        <v/>
      </c>
      <c r="B39" s="4"/>
      <c r="C39" s="4"/>
      <c r="D39" s="4"/>
      <c r="E39" s="7" t="str">
        <f t="shared" si="0"/>
        <v/>
      </c>
      <c r="F39" s="8" t="str">
        <f t="shared" si="1"/>
        <v/>
      </c>
      <c r="G39" s="10" t="str">
        <f t="shared" si="2"/>
        <v>0</v>
      </c>
    </row>
    <row r="40" spans="1:7">
      <c r="A40" s="17" t="str">
        <f>IF(BasicInfo!$A39= "", "",BasicInfo!$A39)</f>
        <v/>
      </c>
      <c r="B40" s="4"/>
      <c r="C40" s="4"/>
      <c r="D40" s="4"/>
      <c r="E40" s="7" t="str">
        <f t="shared" si="0"/>
        <v/>
      </c>
      <c r="F40" s="8" t="str">
        <f t="shared" si="1"/>
        <v/>
      </c>
      <c r="G40" s="10" t="str">
        <f t="shared" si="2"/>
        <v>0</v>
      </c>
    </row>
    <row r="41" spans="1:7">
      <c r="A41" s="17" t="str">
        <f>IF(BasicInfo!$A40= "", "",BasicInfo!$A40)</f>
        <v/>
      </c>
      <c r="B41" s="4"/>
      <c r="C41" s="4"/>
      <c r="D41" s="4"/>
      <c r="E41" s="7" t="str">
        <f t="shared" si="0"/>
        <v/>
      </c>
      <c r="F41" s="8" t="str">
        <f t="shared" si="1"/>
        <v/>
      </c>
      <c r="G41" s="10" t="str">
        <f t="shared" si="2"/>
        <v>0</v>
      </c>
    </row>
    <row r="42" spans="1:7">
      <c r="A42" s="17" t="str">
        <f>IF(BasicInfo!$A41= "", "",BasicInfo!$A41)</f>
        <v/>
      </c>
      <c r="B42" s="4"/>
      <c r="C42" s="4"/>
      <c r="D42" s="4"/>
      <c r="E42" s="7" t="str">
        <f t="shared" si="0"/>
        <v/>
      </c>
      <c r="F42" s="8" t="str">
        <f t="shared" si="1"/>
        <v/>
      </c>
      <c r="G42" s="10" t="str">
        <f t="shared" si="2"/>
        <v>0</v>
      </c>
    </row>
    <row r="43" spans="1:7">
      <c r="A43" s="17" t="str">
        <f>IF(BasicInfo!$A42= "", "",BasicInfo!$A42)</f>
        <v/>
      </c>
      <c r="B43" s="4"/>
      <c r="C43" s="4"/>
      <c r="D43" s="4"/>
      <c r="E43" s="7" t="str">
        <f t="shared" si="0"/>
        <v/>
      </c>
      <c r="F43" s="8" t="str">
        <f t="shared" si="1"/>
        <v/>
      </c>
      <c r="G43" s="10" t="str">
        <f t="shared" si="2"/>
        <v>0</v>
      </c>
    </row>
    <row r="44" spans="1:7">
      <c r="A44" s="17" t="str">
        <f>IF(BasicInfo!$A43= "", "",BasicInfo!$A43)</f>
        <v/>
      </c>
      <c r="B44" s="4"/>
      <c r="C44" s="4"/>
      <c r="D44" s="4"/>
      <c r="E44" s="7" t="str">
        <f t="shared" si="0"/>
        <v/>
      </c>
      <c r="F44" s="8" t="str">
        <f t="shared" si="1"/>
        <v/>
      </c>
      <c r="G44" s="10" t="str">
        <f t="shared" si="2"/>
        <v>0</v>
      </c>
    </row>
    <row r="45" spans="1:7">
      <c r="A45" s="17" t="str">
        <f>IF(BasicInfo!$A44= "", "",BasicInfo!$A44)</f>
        <v/>
      </c>
      <c r="B45" s="4"/>
      <c r="C45" s="4"/>
      <c r="D45" s="4"/>
      <c r="E45" s="7" t="str">
        <f t="shared" si="0"/>
        <v/>
      </c>
      <c r="F45" s="8" t="str">
        <f t="shared" si="1"/>
        <v/>
      </c>
      <c r="G45" s="10" t="str">
        <f t="shared" si="2"/>
        <v>0</v>
      </c>
    </row>
    <row r="46" spans="1:7">
      <c r="A46" s="17" t="str">
        <f>IF(BasicInfo!$A45= "", "",BasicInfo!$A45)</f>
        <v/>
      </c>
      <c r="B46" s="4"/>
      <c r="C46" s="4"/>
      <c r="D46" s="4"/>
      <c r="E46" s="7" t="str">
        <f t="shared" si="0"/>
        <v/>
      </c>
      <c r="F46" s="8" t="str">
        <f t="shared" si="1"/>
        <v/>
      </c>
      <c r="G46" s="10" t="str">
        <f t="shared" si="2"/>
        <v>0</v>
      </c>
    </row>
    <row r="47" spans="1:7">
      <c r="A47" s="17" t="str">
        <f>IF(BasicInfo!$A46= "", "",BasicInfo!$A46)</f>
        <v/>
      </c>
      <c r="B47" s="4"/>
      <c r="C47" s="4"/>
      <c r="D47" s="4"/>
      <c r="E47" s="7" t="str">
        <f t="shared" si="0"/>
        <v/>
      </c>
      <c r="F47" s="8" t="str">
        <f t="shared" si="1"/>
        <v/>
      </c>
      <c r="G47" s="10" t="str">
        <f t="shared" si="2"/>
        <v>0</v>
      </c>
    </row>
    <row r="48" spans="1:7">
      <c r="A48" s="17" t="str">
        <f>IF(BasicInfo!$A47= "", "",BasicInfo!$A47)</f>
        <v/>
      </c>
      <c r="B48" s="4"/>
      <c r="C48" s="4"/>
      <c r="D48" s="4"/>
      <c r="E48" s="7" t="str">
        <f t="shared" si="0"/>
        <v/>
      </c>
      <c r="F48" s="8" t="str">
        <f t="shared" si="1"/>
        <v/>
      </c>
      <c r="G48" s="10" t="str">
        <f t="shared" si="2"/>
        <v>0</v>
      </c>
    </row>
    <row r="49" spans="1:7">
      <c r="A49" s="17" t="str">
        <f>IF(BasicInfo!$A48= "", "",BasicInfo!$A48)</f>
        <v/>
      </c>
      <c r="B49" s="4"/>
      <c r="C49" s="4"/>
      <c r="D49" s="4"/>
      <c r="E49" s="7" t="str">
        <f t="shared" si="0"/>
        <v/>
      </c>
      <c r="F49" s="8" t="str">
        <f t="shared" si="1"/>
        <v/>
      </c>
      <c r="G49" s="10" t="str">
        <f t="shared" si="2"/>
        <v>0</v>
      </c>
    </row>
    <row r="50" spans="1:7">
      <c r="A50" s="17" t="str">
        <f>IF(BasicInfo!$A49= "", "",BasicInfo!$A49)</f>
        <v/>
      </c>
      <c r="B50" s="4"/>
      <c r="C50" s="4"/>
      <c r="D50" s="4"/>
      <c r="E50" s="7" t="str">
        <f t="shared" si="0"/>
        <v/>
      </c>
      <c r="F50" s="8" t="str">
        <f t="shared" si="1"/>
        <v/>
      </c>
      <c r="G50" s="10" t="str">
        <f t="shared" si="2"/>
        <v>0</v>
      </c>
    </row>
    <row r="51" spans="1:7">
      <c r="A51" s="17" t="str">
        <f>IF(BasicInfo!$A50= "", "",BasicInfo!$A50)</f>
        <v/>
      </c>
      <c r="B51" s="4"/>
      <c r="C51" s="4"/>
      <c r="D51" s="4"/>
      <c r="E51" s="7" t="str">
        <f t="shared" si="0"/>
        <v/>
      </c>
      <c r="F51" s="8" t="str">
        <f t="shared" si="1"/>
        <v/>
      </c>
      <c r="G51" s="10" t="str">
        <f t="shared" si="2"/>
        <v>0</v>
      </c>
    </row>
    <row r="52" spans="1:7">
      <c r="A52" s="17" t="str">
        <f>IF(BasicInfo!$A51= "", "",BasicInfo!$A51)</f>
        <v/>
      </c>
      <c r="B52" s="4"/>
      <c r="C52" s="4"/>
      <c r="D52" s="4"/>
      <c r="E52" s="7" t="str">
        <f t="shared" si="0"/>
        <v/>
      </c>
      <c r="F52" s="8" t="str">
        <f t="shared" si="1"/>
        <v/>
      </c>
      <c r="G52" s="10" t="str">
        <f t="shared" si="2"/>
        <v>0</v>
      </c>
    </row>
    <row r="53" spans="1:7">
      <c r="A53" s="17" t="str">
        <f>IF(BasicInfo!$A52= "", "",BasicInfo!$A52)</f>
        <v/>
      </c>
      <c r="B53" s="4"/>
      <c r="C53" s="4"/>
      <c r="D53" s="4"/>
      <c r="E53" s="7" t="str">
        <f t="shared" si="0"/>
        <v/>
      </c>
      <c r="F53" s="8" t="str">
        <f t="shared" si="1"/>
        <v/>
      </c>
      <c r="G53" s="10" t="str">
        <f t="shared" si="2"/>
        <v>0</v>
      </c>
    </row>
    <row r="54" spans="1:7">
      <c r="A54" s="17" t="str">
        <f>IF(BasicInfo!$A53= "", "",BasicInfo!$A53)</f>
        <v/>
      </c>
      <c r="B54" s="4"/>
      <c r="C54" s="4"/>
      <c r="D54" s="4"/>
      <c r="E54" s="7" t="str">
        <f t="shared" si="0"/>
        <v/>
      </c>
      <c r="F54" s="8" t="str">
        <f t="shared" si="1"/>
        <v/>
      </c>
      <c r="G54" s="10" t="str">
        <f t="shared" si="2"/>
        <v>0</v>
      </c>
    </row>
    <row r="55" spans="1:7">
      <c r="A55" s="17" t="str">
        <f>IF(BasicInfo!$A54= "", "",BasicInfo!$A54)</f>
        <v/>
      </c>
      <c r="B55" s="4"/>
      <c r="C55" s="4"/>
      <c r="D55" s="4"/>
      <c r="E55" s="7" t="str">
        <f t="shared" si="0"/>
        <v/>
      </c>
      <c r="F55" s="8" t="str">
        <f t="shared" si="1"/>
        <v/>
      </c>
      <c r="G55" s="10" t="str">
        <f t="shared" si="2"/>
        <v>0</v>
      </c>
    </row>
    <row r="56" spans="1:7">
      <c r="A56" s="17" t="str">
        <f>IF(BasicInfo!$A55= "", "",BasicInfo!$A55)</f>
        <v/>
      </c>
      <c r="B56" s="4"/>
      <c r="C56" s="4"/>
      <c r="D56" s="4"/>
      <c r="E56" s="7" t="str">
        <f t="shared" si="0"/>
        <v/>
      </c>
      <c r="F56" s="8" t="str">
        <f t="shared" si="1"/>
        <v/>
      </c>
      <c r="G56" s="10" t="str">
        <f t="shared" si="2"/>
        <v>0</v>
      </c>
    </row>
    <row r="57" spans="1:7">
      <c r="A57" s="17" t="str">
        <f>IF(BasicInfo!$A56= "", "",BasicInfo!$A56)</f>
        <v/>
      </c>
      <c r="B57" s="4"/>
      <c r="C57" s="4"/>
      <c r="D57" s="4"/>
      <c r="E57" s="7" t="str">
        <f t="shared" si="0"/>
        <v/>
      </c>
      <c r="F57" s="8" t="str">
        <f t="shared" si="1"/>
        <v/>
      </c>
      <c r="G57" s="10" t="str">
        <f t="shared" si="2"/>
        <v>0</v>
      </c>
    </row>
    <row r="58" spans="1:7">
      <c r="A58" s="17" t="str">
        <f>IF(BasicInfo!$A57= "", "",BasicInfo!$A57)</f>
        <v/>
      </c>
      <c r="B58" s="4"/>
      <c r="C58" s="4"/>
      <c r="D58" s="4"/>
      <c r="E58" s="7" t="str">
        <f t="shared" si="0"/>
        <v/>
      </c>
      <c r="F58" s="8" t="str">
        <f t="shared" si="1"/>
        <v/>
      </c>
      <c r="G58" s="10" t="str">
        <f t="shared" si="2"/>
        <v>0</v>
      </c>
    </row>
    <row r="59" spans="1:7">
      <c r="A59" s="17" t="str">
        <f>IF(BasicInfo!$A58= "", "",BasicInfo!$A58)</f>
        <v/>
      </c>
      <c r="B59" s="4"/>
      <c r="C59" s="4"/>
      <c r="D59" s="4"/>
      <c r="E59" s="7" t="str">
        <f t="shared" si="0"/>
        <v/>
      </c>
      <c r="F59" s="8" t="str">
        <f t="shared" si="1"/>
        <v/>
      </c>
      <c r="G59" s="10" t="str">
        <f t="shared" si="2"/>
        <v>0</v>
      </c>
    </row>
    <row r="60" spans="1:7">
      <c r="A60" s="17" t="str">
        <f>IF(BasicInfo!$A59= "", "",BasicInfo!$A59)</f>
        <v/>
      </c>
      <c r="B60" s="4"/>
      <c r="C60" s="4"/>
      <c r="D60" s="4"/>
      <c r="E60" s="7" t="str">
        <f t="shared" si="0"/>
        <v/>
      </c>
      <c r="F60" s="8" t="str">
        <f t="shared" si="1"/>
        <v/>
      </c>
      <c r="G60" s="10" t="str">
        <f t="shared" si="2"/>
        <v>0</v>
      </c>
    </row>
    <row r="61" spans="1:7">
      <c r="A61" s="17" t="str">
        <f>IF(BasicInfo!$A60= "", "",BasicInfo!$A60)</f>
        <v/>
      </c>
      <c r="B61" s="4"/>
      <c r="C61" s="4"/>
      <c r="D61" s="4"/>
      <c r="E61" s="7" t="str">
        <f t="shared" si="0"/>
        <v/>
      </c>
      <c r="F61" s="8" t="str">
        <f t="shared" si="1"/>
        <v/>
      </c>
      <c r="G61" s="10" t="str">
        <f t="shared" si="2"/>
        <v>0</v>
      </c>
    </row>
    <row r="62" spans="1:7">
      <c r="A62" s="17" t="str">
        <f>IF(BasicInfo!$A61= "", "",BasicInfo!$A61)</f>
        <v/>
      </c>
      <c r="B62" s="4"/>
      <c r="C62" s="4"/>
      <c r="D62" s="4"/>
      <c r="E62" s="7" t="str">
        <f t="shared" si="0"/>
        <v/>
      </c>
      <c r="F62" s="8" t="str">
        <f t="shared" si="1"/>
        <v/>
      </c>
      <c r="G62" s="10" t="str">
        <f t="shared" si="2"/>
        <v>0</v>
      </c>
    </row>
    <row r="63" spans="1:7">
      <c r="A63" s="17" t="str">
        <f>IF(BasicInfo!$A62= "", "",BasicInfo!$A62)</f>
        <v/>
      </c>
      <c r="B63" s="4"/>
      <c r="C63" s="4"/>
      <c r="D63" s="4"/>
      <c r="E63" s="7" t="str">
        <f t="shared" si="0"/>
        <v/>
      </c>
      <c r="F63" s="8" t="str">
        <f t="shared" si="1"/>
        <v/>
      </c>
      <c r="G63" s="10" t="str">
        <f t="shared" si="2"/>
        <v>0</v>
      </c>
    </row>
    <row r="64" spans="1:7">
      <c r="A64" s="17" t="str">
        <f>IF(BasicInfo!$A63= "", "",BasicInfo!$A63)</f>
        <v/>
      </c>
      <c r="B64" s="4"/>
      <c r="C64" s="4"/>
      <c r="D64" s="4"/>
      <c r="E64" s="7" t="str">
        <f t="shared" si="0"/>
        <v/>
      </c>
      <c r="F64" s="8" t="str">
        <f t="shared" si="1"/>
        <v/>
      </c>
      <c r="G64" s="10" t="str">
        <f t="shared" si="2"/>
        <v>0</v>
      </c>
    </row>
    <row r="65" spans="1:7">
      <c r="A65" s="17" t="str">
        <f>IF(BasicInfo!$A64= "", "",BasicInfo!$A64)</f>
        <v/>
      </c>
      <c r="B65" s="4"/>
      <c r="C65" s="4"/>
      <c r="D65" s="4"/>
      <c r="E65" s="7" t="str">
        <f t="shared" si="0"/>
        <v/>
      </c>
      <c r="F65" s="8" t="str">
        <f t="shared" si="1"/>
        <v/>
      </c>
      <c r="G65" s="10" t="str">
        <f t="shared" si="2"/>
        <v>0</v>
      </c>
    </row>
    <row r="66" spans="1:7">
      <c r="A66" s="17" t="str">
        <f>IF(BasicInfo!$A65= "", "",BasicInfo!$A65)</f>
        <v/>
      </c>
      <c r="B66" s="4"/>
      <c r="C66" s="4"/>
      <c r="D66" s="4"/>
      <c r="E66" s="7" t="str">
        <f t="shared" si="0"/>
        <v/>
      </c>
      <c r="F66" s="8" t="str">
        <f t="shared" si="1"/>
        <v/>
      </c>
      <c r="G66" s="10" t="str">
        <f t="shared" si="2"/>
        <v>0</v>
      </c>
    </row>
    <row r="67" spans="1:7">
      <c r="A67" s="17" t="str">
        <f>IF(BasicInfo!$A66= "", "",BasicInfo!$A66)</f>
        <v/>
      </c>
      <c r="B67" s="4"/>
      <c r="C67" s="4"/>
      <c r="D67" s="4"/>
      <c r="E67" s="7" t="str">
        <f t="shared" si="0"/>
        <v/>
      </c>
      <c r="F67" s="8" t="str">
        <f t="shared" si="1"/>
        <v/>
      </c>
      <c r="G67" s="10" t="str">
        <f t="shared" si="2"/>
        <v>0</v>
      </c>
    </row>
    <row r="68" spans="1:7">
      <c r="A68" s="17" t="str">
        <f>IF(BasicInfo!$A67= "", "",BasicInfo!$A67)</f>
        <v/>
      </c>
      <c r="B68" s="4"/>
      <c r="C68" s="4"/>
      <c r="D68" s="4"/>
      <c r="E68" s="7" t="str">
        <f t="shared" si="0"/>
        <v/>
      </c>
      <c r="F68" s="8" t="str">
        <f t="shared" si="1"/>
        <v/>
      </c>
      <c r="G68" s="10" t="str">
        <f t="shared" si="2"/>
        <v>0</v>
      </c>
    </row>
    <row r="69" spans="1:7">
      <c r="A69" s="17" t="str">
        <f>IF(BasicInfo!$A68= "", "",BasicInfo!$A68)</f>
        <v/>
      </c>
      <c r="B69" s="4"/>
      <c r="C69" s="4"/>
      <c r="D69" s="4"/>
      <c r="E69" s="7" t="str">
        <f t="shared" ref="E69:E132" si="3">IF((B69+4*C69+D69)/6 =0,"",(B69+4*C69+D69)/6)</f>
        <v/>
      </c>
      <c r="F69" s="8" t="str">
        <f t="shared" ref="F69:F132" si="4">IF(E69&lt;&gt;"",((D69-B69)/6)/E69,"")</f>
        <v/>
      </c>
      <c r="G69" s="10" t="str">
        <f t="shared" ref="G69:G132" si="5">IF(E69="","0",E69)</f>
        <v>0</v>
      </c>
    </row>
    <row r="70" spans="1:7">
      <c r="A70" s="17" t="str">
        <f>IF(BasicInfo!$A69= "", "",BasicInfo!$A69)</f>
        <v/>
      </c>
      <c r="B70" s="4"/>
      <c r="C70" s="4"/>
      <c r="D70" s="4"/>
      <c r="E70" s="7" t="str">
        <f t="shared" si="3"/>
        <v/>
      </c>
      <c r="F70" s="8" t="str">
        <f t="shared" si="4"/>
        <v/>
      </c>
      <c r="G70" s="10" t="str">
        <f t="shared" si="5"/>
        <v>0</v>
      </c>
    </row>
    <row r="71" spans="1:7">
      <c r="A71" s="17" t="str">
        <f>IF(BasicInfo!$A70= "", "",BasicInfo!$A70)</f>
        <v/>
      </c>
      <c r="B71" s="4"/>
      <c r="C71" s="4"/>
      <c r="D71" s="4"/>
      <c r="E71" s="7" t="str">
        <f t="shared" si="3"/>
        <v/>
      </c>
      <c r="F71" s="8" t="str">
        <f t="shared" si="4"/>
        <v/>
      </c>
      <c r="G71" s="10" t="str">
        <f t="shared" si="5"/>
        <v>0</v>
      </c>
    </row>
    <row r="72" spans="1:7">
      <c r="A72" s="17" t="str">
        <f>IF(BasicInfo!$A71= "", "",BasicInfo!$A71)</f>
        <v/>
      </c>
      <c r="B72" s="4"/>
      <c r="C72" s="4"/>
      <c r="D72" s="4"/>
      <c r="E72" s="7" t="str">
        <f t="shared" si="3"/>
        <v/>
      </c>
      <c r="F72" s="8" t="str">
        <f t="shared" si="4"/>
        <v/>
      </c>
      <c r="G72" s="10" t="str">
        <f t="shared" si="5"/>
        <v>0</v>
      </c>
    </row>
    <row r="73" spans="1:7">
      <c r="A73" s="17" t="str">
        <f>IF(BasicInfo!$A72= "", "",BasicInfo!$A72)</f>
        <v/>
      </c>
      <c r="B73" s="4"/>
      <c r="C73" s="4"/>
      <c r="D73" s="4"/>
      <c r="E73" s="7" t="str">
        <f t="shared" si="3"/>
        <v/>
      </c>
      <c r="F73" s="8" t="str">
        <f t="shared" si="4"/>
        <v/>
      </c>
      <c r="G73" s="10" t="str">
        <f t="shared" si="5"/>
        <v>0</v>
      </c>
    </row>
    <row r="74" spans="1:7">
      <c r="A74" s="17" t="str">
        <f>IF(BasicInfo!$A73= "", "",BasicInfo!$A73)</f>
        <v/>
      </c>
      <c r="B74" s="4"/>
      <c r="C74" s="4"/>
      <c r="D74" s="4"/>
      <c r="E74" s="7" t="str">
        <f t="shared" si="3"/>
        <v/>
      </c>
      <c r="F74" s="8" t="str">
        <f t="shared" si="4"/>
        <v/>
      </c>
      <c r="G74" s="10" t="str">
        <f t="shared" si="5"/>
        <v>0</v>
      </c>
    </row>
    <row r="75" spans="1:7">
      <c r="A75" s="17" t="str">
        <f>IF(BasicInfo!$A74= "", "",BasicInfo!$A74)</f>
        <v/>
      </c>
      <c r="B75" s="4"/>
      <c r="C75" s="4"/>
      <c r="D75" s="4"/>
      <c r="E75" s="7" t="str">
        <f t="shared" si="3"/>
        <v/>
      </c>
      <c r="F75" s="8" t="str">
        <f t="shared" si="4"/>
        <v/>
      </c>
      <c r="G75" s="10" t="str">
        <f t="shared" si="5"/>
        <v>0</v>
      </c>
    </row>
    <row r="76" spans="1:7">
      <c r="A76" s="17" t="str">
        <f>IF(BasicInfo!$A75= "", "",BasicInfo!$A75)</f>
        <v/>
      </c>
      <c r="B76" s="4"/>
      <c r="C76" s="4"/>
      <c r="D76" s="4"/>
      <c r="E76" s="7" t="str">
        <f t="shared" si="3"/>
        <v/>
      </c>
      <c r="F76" s="8" t="str">
        <f t="shared" si="4"/>
        <v/>
      </c>
      <c r="G76" s="10" t="str">
        <f t="shared" si="5"/>
        <v>0</v>
      </c>
    </row>
    <row r="77" spans="1:7">
      <c r="A77" s="17" t="str">
        <f>IF(BasicInfo!$A76= "", "",BasicInfo!$A76)</f>
        <v/>
      </c>
      <c r="B77" s="4"/>
      <c r="C77" s="4"/>
      <c r="D77" s="4"/>
      <c r="E77" s="7" t="str">
        <f t="shared" si="3"/>
        <v/>
      </c>
      <c r="F77" s="8" t="str">
        <f t="shared" si="4"/>
        <v/>
      </c>
      <c r="G77" s="10" t="str">
        <f t="shared" si="5"/>
        <v>0</v>
      </c>
    </row>
    <row r="78" spans="1:7">
      <c r="A78" s="17" t="str">
        <f>IF(BasicInfo!$A77= "", "",BasicInfo!$A77)</f>
        <v/>
      </c>
      <c r="B78" s="4"/>
      <c r="C78" s="4"/>
      <c r="D78" s="4"/>
      <c r="E78" s="7" t="str">
        <f t="shared" si="3"/>
        <v/>
      </c>
      <c r="F78" s="8" t="str">
        <f t="shared" si="4"/>
        <v/>
      </c>
      <c r="G78" s="10" t="str">
        <f t="shared" si="5"/>
        <v>0</v>
      </c>
    </row>
    <row r="79" spans="1:7">
      <c r="A79" s="17" t="str">
        <f>IF(BasicInfo!$A78= "", "",BasicInfo!$A78)</f>
        <v/>
      </c>
      <c r="B79" s="4"/>
      <c r="C79" s="4"/>
      <c r="D79" s="4"/>
      <c r="E79" s="7" t="str">
        <f t="shared" si="3"/>
        <v/>
      </c>
      <c r="F79" s="8" t="str">
        <f t="shared" si="4"/>
        <v/>
      </c>
      <c r="G79" s="10" t="str">
        <f t="shared" si="5"/>
        <v>0</v>
      </c>
    </row>
    <row r="80" spans="1:7">
      <c r="A80" s="17" t="str">
        <f>IF(BasicInfo!$A79= "", "",BasicInfo!$A79)</f>
        <v/>
      </c>
      <c r="B80" s="4"/>
      <c r="C80" s="4"/>
      <c r="D80" s="4"/>
      <c r="E80" s="7" t="str">
        <f t="shared" si="3"/>
        <v/>
      </c>
      <c r="F80" s="8" t="str">
        <f t="shared" si="4"/>
        <v/>
      </c>
      <c r="G80" s="10" t="str">
        <f t="shared" si="5"/>
        <v>0</v>
      </c>
    </row>
    <row r="81" spans="1:7">
      <c r="A81" s="17" t="str">
        <f>IF(BasicInfo!$A80= "", "",BasicInfo!$A80)</f>
        <v/>
      </c>
      <c r="B81" s="4"/>
      <c r="C81" s="4"/>
      <c r="D81" s="4"/>
      <c r="E81" s="7" t="str">
        <f t="shared" si="3"/>
        <v/>
      </c>
      <c r="F81" s="8" t="str">
        <f t="shared" si="4"/>
        <v/>
      </c>
      <c r="G81" s="10" t="str">
        <f t="shared" si="5"/>
        <v>0</v>
      </c>
    </row>
    <row r="82" spans="1:7">
      <c r="A82" s="17" t="str">
        <f>IF(BasicInfo!$A81= "", "",BasicInfo!$A81)</f>
        <v/>
      </c>
      <c r="B82" s="4"/>
      <c r="C82" s="4"/>
      <c r="D82" s="4"/>
      <c r="E82" s="7" t="str">
        <f t="shared" si="3"/>
        <v/>
      </c>
      <c r="F82" s="8" t="str">
        <f t="shared" si="4"/>
        <v/>
      </c>
      <c r="G82" s="10" t="str">
        <f t="shared" si="5"/>
        <v>0</v>
      </c>
    </row>
    <row r="83" spans="1:7">
      <c r="A83" s="17" t="str">
        <f>IF(BasicInfo!$A82= "", "",BasicInfo!$A82)</f>
        <v/>
      </c>
      <c r="B83" s="4"/>
      <c r="C83" s="4"/>
      <c r="D83" s="4"/>
      <c r="E83" s="7" t="str">
        <f t="shared" si="3"/>
        <v/>
      </c>
      <c r="F83" s="8" t="str">
        <f t="shared" si="4"/>
        <v/>
      </c>
      <c r="G83" s="10" t="str">
        <f t="shared" si="5"/>
        <v>0</v>
      </c>
    </row>
    <row r="84" spans="1:7">
      <c r="A84" s="17" t="str">
        <f>IF(BasicInfo!$A83= "", "",BasicInfo!$A83)</f>
        <v/>
      </c>
      <c r="B84" s="4"/>
      <c r="C84" s="4"/>
      <c r="D84" s="4"/>
      <c r="E84" s="7" t="str">
        <f t="shared" si="3"/>
        <v/>
      </c>
      <c r="F84" s="8" t="str">
        <f t="shared" si="4"/>
        <v/>
      </c>
      <c r="G84" s="10" t="str">
        <f t="shared" si="5"/>
        <v>0</v>
      </c>
    </row>
    <row r="85" spans="1:7">
      <c r="A85" s="17" t="str">
        <f>IF(BasicInfo!$A84= "", "",BasicInfo!$A84)</f>
        <v/>
      </c>
      <c r="B85" s="4"/>
      <c r="C85" s="4"/>
      <c r="D85" s="4"/>
      <c r="E85" s="7" t="str">
        <f t="shared" si="3"/>
        <v/>
      </c>
      <c r="F85" s="8" t="str">
        <f t="shared" si="4"/>
        <v/>
      </c>
      <c r="G85" s="10" t="str">
        <f t="shared" si="5"/>
        <v>0</v>
      </c>
    </row>
    <row r="86" spans="1:7">
      <c r="A86" s="17" t="str">
        <f>IF(BasicInfo!$A85= "", "",BasicInfo!$A85)</f>
        <v/>
      </c>
      <c r="B86" s="4"/>
      <c r="C86" s="4"/>
      <c r="D86" s="4"/>
      <c r="E86" s="7" t="str">
        <f t="shared" si="3"/>
        <v/>
      </c>
      <c r="F86" s="8" t="str">
        <f t="shared" si="4"/>
        <v/>
      </c>
      <c r="G86" s="10" t="str">
        <f t="shared" si="5"/>
        <v>0</v>
      </c>
    </row>
    <row r="87" spans="1:7">
      <c r="A87" s="17" t="str">
        <f>IF(BasicInfo!$A86= "", "",BasicInfo!$A86)</f>
        <v/>
      </c>
      <c r="B87" s="4"/>
      <c r="C87" s="4"/>
      <c r="D87" s="4"/>
      <c r="E87" s="7" t="str">
        <f t="shared" si="3"/>
        <v/>
      </c>
      <c r="F87" s="8" t="str">
        <f t="shared" si="4"/>
        <v/>
      </c>
      <c r="G87" s="10" t="str">
        <f t="shared" si="5"/>
        <v>0</v>
      </c>
    </row>
    <row r="88" spans="1:7">
      <c r="A88" s="17" t="str">
        <f>IF(BasicInfo!$A87= "", "",BasicInfo!$A87)</f>
        <v/>
      </c>
      <c r="B88" s="4"/>
      <c r="C88" s="4"/>
      <c r="D88" s="4"/>
      <c r="E88" s="7" t="str">
        <f t="shared" si="3"/>
        <v/>
      </c>
      <c r="F88" s="8" t="str">
        <f t="shared" si="4"/>
        <v/>
      </c>
      <c r="G88" s="10" t="str">
        <f t="shared" si="5"/>
        <v>0</v>
      </c>
    </row>
    <row r="89" spans="1:7">
      <c r="A89" s="17" t="str">
        <f>IF(BasicInfo!$A88= "", "",BasicInfo!$A88)</f>
        <v/>
      </c>
      <c r="B89" s="4"/>
      <c r="C89" s="4"/>
      <c r="D89" s="4"/>
      <c r="E89" s="7" t="str">
        <f t="shared" si="3"/>
        <v/>
      </c>
      <c r="F89" s="8" t="str">
        <f t="shared" si="4"/>
        <v/>
      </c>
      <c r="G89" s="10" t="str">
        <f t="shared" si="5"/>
        <v>0</v>
      </c>
    </row>
    <row r="90" spans="1:7">
      <c r="A90" s="17" t="str">
        <f>IF(BasicInfo!$A89= "", "",BasicInfo!$A89)</f>
        <v/>
      </c>
      <c r="B90" s="4"/>
      <c r="C90" s="4"/>
      <c r="D90" s="4"/>
      <c r="E90" s="7" t="str">
        <f t="shared" si="3"/>
        <v/>
      </c>
      <c r="F90" s="8" t="str">
        <f t="shared" si="4"/>
        <v/>
      </c>
      <c r="G90" s="10" t="str">
        <f t="shared" si="5"/>
        <v>0</v>
      </c>
    </row>
    <row r="91" spans="1:7">
      <c r="A91" s="17" t="str">
        <f>IF(BasicInfo!$A90= "", "",BasicInfo!$A90)</f>
        <v/>
      </c>
      <c r="B91" s="4"/>
      <c r="C91" s="4"/>
      <c r="D91" s="4"/>
      <c r="E91" s="7" t="str">
        <f t="shared" si="3"/>
        <v/>
      </c>
      <c r="F91" s="8" t="str">
        <f t="shared" si="4"/>
        <v/>
      </c>
      <c r="G91" s="10" t="str">
        <f t="shared" si="5"/>
        <v>0</v>
      </c>
    </row>
    <row r="92" spans="1:7">
      <c r="A92" s="17" t="str">
        <f>IF(BasicInfo!$A91= "", "",BasicInfo!$A91)</f>
        <v/>
      </c>
      <c r="B92" s="4"/>
      <c r="C92" s="4"/>
      <c r="D92" s="4"/>
      <c r="E92" s="7" t="str">
        <f t="shared" si="3"/>
        <v/>
      </c>
      <c r="F92" s="8" t="str">
        <f t="shared" si="4"/>
        <v/>
      </c>
      <c r="G92" s="10" t="str">
        <f t="shared" si="5"/>
        <v>0</v>
      </c>
    </row>
    <row r="93" spans="1:7">
      <c r="A93" s="17" t="str">
        <f>IF(BasicInfo!$A92= "", "",BasicInfo!$A92)</f>
        <v/>
      </c>
      <c r="B93" s="4"/>
      <c r="C93" s="4"/>
      <c r="D93" s="4"/>
      <c r="E93" s="7" t="str">
        <f t="shared" si="3"/>
        <v/>
      </c>
      <c r="F93" s="8" t="str">
        <f t="shared" si="4"/>
        <v/>
      </c>
      <c r="G93" s="10" t="str">
        <f t="shared" si="5"/>
        <v>0</v>
      </c>
    </row>
    <row r="94" spans="1:7">
      <c r="A94" s="17" t="str">
        <f>IF(BasicInfo!$A93= "", "",BasicInfo!$A93)</f>
        <v/>
      </c>
      <c r="B94" s="4"/>
      <c r="C94" s="4"/>
      <c r="D94" s="4"/>
      <c r="E94" s="7" t="str">
        <f t="shared" si="3"/>
        <v/>
      </c>
      <c r="F94" s="8" t="str">
        <f t="shared" si="4"/>
        <v/>
      </c>
      <c r="G94" s="10" t="str">
        <f t="shared" si="5"/>
        <v>0</v>
      </c>
    </row>
    <row r="95" spans="1:7">
      <c r="A95" s="17" t="str">
        <f>IF(BasicInfo!$A94= "", "",BasicInfo!$A94)</f>
        <v/>
      </c>
      <c r="B95" s="4"/>
      <c r="C95" s="4"/>
      <c r="D95" s="4"/>
      <c r="E95" s="7" t="str">
        <f t="shared" si="3"/>
        <v/>
      </c>
      <c r="F95" s="8" t="str">
        <f t="shared" si="4"/>
        <v/>
      </c>
      <c r="G95" s="10" t="str">
        <f t="shared" si="5"/>
        <v>0</v>
      </c>
    </row>
    <row r="96" spans="1:7">
      <c r="A96" s="17" t="str">
        <f>IF(BasicInfo!$A95= "", "",BasicInfo!$A95)</f>
        <v/>
      </c>
      <c r="B96" s="4"/>
      <c r="C96" s="4"/>
      <c r="D96" s="4"/>
      <c r="E96" s="7" t="str">
        <f t="shared" si="3"/>
        <v/>
      </c>
      <c r="F96" s="8" t="str">
        <f t="shared" si="4"/>
        <v/>
      </c>
      <c r="G96" s="10" t="str">
        <f t="shared" si="5"/>
        <v>0</v>
      </c>
    </row>
    <row r="97" spans="1:7">
      <c r="A97" s="17" t="str">
        <f>IF(BasicInfo!$A96= "", "",BasicInfo!$A96)</f>
        <v/>
      </c>
      <c r="B97" s="4"/>
      <c r="C97" s="4"/>
      <c r="D97" s="4"/>
      <c r="E97" s="7" t="str">
        <f t="shared" si="3"/>
        <v/>
      </c>
      <c r="F97" s="8" t="str">
        <f t="shared" si="4"/>
        <v/>
      </c>
      <c r="G97" s="10" t="str">
        <f t="shared" si="5"/>
        <v>0</v>
      </c>
    </row>
    <row r="98" spans="1:7">
      <c r="A98" s="17" t="str">
        <f>IF(BasicInfo!$A97= "", "",BasicInfo!$A97)</f>
        <v/>
      </c>
      <c r="B98" s="4"/>
      <c r="C98" s="4"/>
      <c r="D98" s="4"/>
      <c r="E98" s="7" t="str">
        <f t="shared" si="3"/>
        <v/>
      </c>
      <c r="F98" s="8" t="str">
        <f t="shared" si="4"/>
        <v/>
      </c>
      <c r="G98" s="10" t="str">
        <f t="shared" si="5"/>
        <v>0</v>
      </c>
    </row>
    <row r="99" spans="1:7">
      <c r="A99" s="17" t="str">
        <f>IF(BasicInfo!$A98= "", "",BasicInfo!$A98)</f>
        <v/>
      </c>
      <c r="B99" s="4"/>
      <c r="C99" s="4"/>
      <c r="D99" s="4"/>
      <c r="E99" s="7" t="str">
        <f t="shared" si="3"/>
        <v/>
      </c>
      <c r="F99" s="8" t="str">
        <f t="shared" si="4"/>
        <v/>
      </c>
      <c r="G99" s="10" t="str">
        <f t="shared" si="5"/>
        <v>0</v>
      </c>
    </row>
    <row r="100" spans="1:7">
      <c r="A100" s="17" t="str">
        <f>IF(BasicInfo!$A99= "", "",BasicInfo!$A99)</f>
        <v/>
      </c>
      <c r="B100" s="4"/>
      <c r="C100" s="4"/>
      <c r="D100" s="4"/>
      <c r="E100" s="7" t="str">
        <f t="shared" si="3"/>
        <v/>
      </c>
      <c r="F100" s="8" t="str">
        <f t="shared" si="4"/>
        <v/>
      </c>
      <c r="G100" s="10" t="str">
        <f t="shared" si="5"/>
        <v>0</v>
      </c>
    </row>
    <row r="101" spans="1:7">
      <c r="A101" s="17" t="str">
        <f>IF(BasicInfo!$A100= "", "",BasicInfo!$A100)</f>
        <v/>
      </c>
      <c r="B101" s="4"/>
      <c r="C101" s="4"/>
      <c r="D101" s="4"/>
      <c r="E101" s="7" t="str">
        <f t="shared" si="3"/>
        <v/>
      </c>
      <c r="F101" s="8" t="str">
        <f t="shared" si="4"/>
        <v/>
      </c>
      <c r="G101" s="10" t="str">
        <f t="shared" si="5"/>
        <v>0</v>
      </c>
    </row>
    <row r="102" spans="1:7">
      <c r="A102" s="17" t="str">
        <f>IF(BasicInfo!$A101= "", "",BasicInfo!$A101)</f>
        <v/>
      </c>
      <c r="B102" s="4"/>
      <c r="C102" s="4"/>
      <c r="D102" s="4"/>
      <c r="E102" s="7" t="str">
        <f t="shared" si="3"/>
        <v/>
      </c>
      <c r="F102" s="8" t="str">
        <f t="shared" si="4"/>
        <v/>
      </c>
      <c r="G102" s="10" t="str">
        <f t="shared" si="5"/>
        <v>0</v>
      </c>
    </row>
    <row r="103" spans="1:7">
      <c r="A103" s="17" t="str">
        <f>IF(BasicInfo!$A102= "", "",BasicInfo!$A102)</f>
        <v/>
      </c>
      <c r="B103" s="4"/>
      <c r="C103" s="4"/>
      <c r="D103" s="4"/>
      <c r="E103" s="7" t="str">
        <f t="shared" si="3"/>
        <v/>
      </c>
      <c r="F103" s="8" t="str">
        <f t="shared" si="4"/>
        <v/>
      </c>
      <c r="G103" s="10" t="str">
        <f t="shared" si="5"/>
        <v>0</v>
      </c>
    </row>
    <row r="104" spans="1:7">
      <c r="A104" s="17" t="str">
        <f>IF(BasicInfo!$A103= "", "",BasicInfo!$A103)</f>
        <v/>
      </c>
      <c r="B104" s="4"/>
      <c r="C104" s="4"/>
      <c r="D104" s="4"/>
      <c r="E104" s="7" t="str">
        <f t="shared" si="3"/>
        <v/>
      </c>
      <c r="F104" s="8" t="str">
        <f t="shared" si="4"/>
        <v/>
      </c>
      <c r="G104" s="10" t="str">
        <f t="shared" si="5"/>
        <v>0</v>
      </c>
    </row>
    <row r="105" spans="1:7">
      <c r="A105" s="17" t="str">
        <f>IF(BasicInfo!$A104= "", "",BasicInfo!$A104)</f>
        <v/>
      </c>
      <c r="B105" s="4"/>
      <c r="C105" s="4"/>
      <c r="D105" s="4"/>
      <c r="E105" s="7" t="str">
        <f t="shared" si="3"/>
        <v/>
      </c>
      <c r="F105" s="8" t="str">
        <f t="shared" si="4"/>
        <v/>
      </c>
      <c r="G105" s="10" t="str">
        <f t="shared" si="5"/>
        <v>0</v>
      </c>
    </row>
    <row r="106" spans="1:7">
      <c r="A106" s="17" t="str">
        <f>IF(BasicInfo!$A105= "", "",BasicInfo!$A105)</f>
        <v/>
      </c>
      <c r="B106" s="4"/>
      <c r="C106" s="4"/>
      <c r="D106" s="4"/>
      <c r="E106" s="7" t="str">
        <f t="shared" si="3"/>
        <v/>
      </c>
      <c r="F106" s="8" t="str">
        <f t="shared" si="4"/>
        <v/>
      </c>
      <c r="G106" s="10" t="str">
        <f t="shared" si="5"/>
        <v>0</v>
      </c>
    </row>
    <row r="107" spans="1:7">
      <c r="A107" s="17" t="str">
        <f>IF(BasicInfo!$A106= "", "",BasicInfo!$A106)</f>
        <v/>
      </c>
      <c r="B107" s="4"/>
      <c r="C107" s="4"/>
      <c r="D107" s="4"/>
      <c r="E107" s="7" t="str">
        <f t="shared" si="3"/>
        <v/>
      </c>
      <c r="F107" s="8" t="str">
        <f t="shared" si="4"/>
        <v/>
      </c>
      <c r="G107" s="10" t="str">
        <f t="shared" si="5"/>
        <v>0</v>
      </c>
    </row>
    <row r="108" spans="1:7">
      <c r="A108" s="17" t="str">
        <f>IF(BasicInfo!$A107= "", "",BasicInfo!$A107)</f>
        <v/>
      </c>
      <c r="B108" s="4"/>
      <c r="C108" s="4"/>
      <c r="D108" s="4"/>
      <c r="E108" s="7" t="str">
        <f t="shared" si="3"/>
        <v/>
      </c>
      <c r="F108" s="8" t="str">
        <f t="shared" si="4"/>
        <v/>
      </c>
      <c r="G108" s="10" t="str">
        <f t="shared" si="5"/>
        <v>0</v>
      </c>
    </row>
    <row r="109" spans="1:7">
      <c r="A109" s="17" t="str">
        <f>IF(BasicInfo!$A108= "", "",BasicInfo!$A108)</f>
        <v/>
      </c>
      <c r="B109" s="4"/>
      <c r="C109" s="4"/>
      <c r="D109" s="4"/>
      <c r="E109" s="7" t="str">
        <f t="shared" si="3"/>
        <v/>
      </c>
      <c r="F109" s="8" t="str">
        <f t="shared" si="4"/>
        <v/>
      </c>
      <c r="G109" s="10" t="str">
        <f t="shared" si="5"/>
        <v>0</v>
      </c>
    </row>
    <row r="110" spans="1:7">
      <c r="A110" s="17" t="str">
        <f>IF(BasicInfo!$A109= "", "",BasicInfo!$A109)</f>
        <v/>
      </c>
      <c r="B110" s="4"/>
      <c r="C110" s="4"/>
      <c r="D110" s="4"/>
      <c r="E110" s="7" t="str">
        <f t="shared" si="3"/>
        <v/>
      </c>
      <c r="F110" s="8" t="str">
        <f t="shared" si="4"/>
        <v/>
      </c>
      <c r="G110" s="10" t="str">
        <f t="shared" si="5"/>
        <v>0</v>
      </c>
    </row>
    <row r="111" spans="1:7">
      <c r="A111" s="17" t="str">
        <f>IF(BasicInfo!$A110= "", "",BasicInfo!$A110)</f>
        <v/>
      </c>
      <c r="B111" s="4"/>
      <c r="C111" s="4"/>
      <c r="D111" s="4"/>
      <c r="E111" s="7" t="str">
        <f t="shared" si="3"/>
        <v/>
      </c>
      <c r="F111" s="8" t="str">
        <f t="shared" si="4"/>
        <v/>
      </c>
      <c r="G111" s="10" t="str">
        <f t="shared" si="5"/>
        <v>0</v>
      </c>
    </row>
    <row r="112" spans="1:7">
      <c r="A112" s="17" t="str">
        <f>IF(BasicInfo!$A111= "", "",BasicInfo!$A111)</f>
        <v/>
      </c>
      <c r="B112" s="4"/>
      <c r="C112" s="4"/>
      <c r="D112" s="4"/>
      <c r="E112" s="7" t="str">
        <f t="shared" si="3"/>
        <v/>
      </c>
      <c r="F112" s="8" t="str">
        <f t="shared" si="4"/>
        <v/>
      </c>
      <c r="G112" s="10" t="str">
        <f t="shared" si="5"/>
        <v>0</v>
      </c>
    </row>
    <row r="113" spans="1:7">
      <c r="A113" s="17" t="str">
        <f>IF(BasicInfo!$A112= "", "",BasicInfo!$A112)</f>
        <v/>
      </c>
      <c r="B113" s="4"/>
      <c r="C113" s="4"/>
      <c r="D113" s="4"/>
      <c r="E113" s="7" t="str">
        <f t="shared" si="3"/>
        <v/>
      </c>
      <c r="F113" s="8" t="str">
        <f t="shared" si="4"/>
        <v/>
      </c>
      <c r="G113" s="10" t="str">
        <f t="shared" si="5"/>
        <v>0</v>
      </c>
    </row>
    <row r="114" spans="1:7">
      <c r="A114" s="17" t="str">
        <f>IF(BasicInfo!$A113= "", "",BasicInfo!$A113)</f>
        <v/>
      </c>
      <c r="B114" s="4"/>
      <c r="C114" s="4"/>
      <c r="D114" s="4"/>
      <c r="E114" s="7" t="str">
        <f t="shared" si="3"/>
        <v/>
      </c>
      <c r="F114" s="8" t="str">
        <f t="shared" si="4"/>
        <v/>
      </c>
      <c r="G114" s="10" t="str">
        <f t="shared" si="5"/>
        <v>0</v>
      </c>
    </row>
    <row r="115" spans="1:7">
      <c r="A115" s="17" t="str">
        <f>IF(BasicInfo!$A114= "", "",BasicInfo!$A114)</f>
        <v/>
      </c>
      <c r="B115" s="4"/>
      <c r="C115" s="4"/>
      <c r="D115" s="4"/>
      <c r="E115" s="7" t="str">
        <f t="shared" si="3"/>
        <v/>
      </c>
      <c r="F115" s="8" t="str">
        <f t="shared" si="4"/>
        <v/>
      </c>
      <c r="G115" s="10" t="str">
        <f t="shared" si="5"/>
        <v>0</v>
      </c>
    </row>
    <row r="116" spans="1:7">
      <c r="A116" s="17" t="str">
        <f>IF(BasicInfo!$A115= "", "",BasicInfo!$A115)</f>
        <v/>
      </c>
      <c r="B116" s="4"/>
      <c r="C116" s="4"/>
      <c r="D116" s="4"/>
      <c r="E116" s="7" t="str">
        <f t="shared" si="3"/>
        <v/>
      </c>
      <c r="F116" s="8" t="str">
        <f t="shared" si="4"/>
        <v/>
      </c>
      <c r="G116" s="10" t="str">
        <f t="shared" si="5"/>
        <v>0</v>
      </c>
    </row>
    <row r="117" spans="1:7">
      <c r="A117" s="17" t="str">
        <f>IF(BasicInfo!$A116= "", "",BasicInfo!$A116)</f>
        <v/>
      </c>
      <c r="B117" s="4"/>
      <c r="C117" s="4"/>
      <c r="D117" s="4"/>
      <c r="E117" s="7" t="str">
        <f t="shared" si="3"/>
        <v/>
      </c>
      <c r="F117" s="8" t="str">
        <f t="shared" si="4"/>
        <v/>
      </c>
      <c r="G117" s="10" t="str">
        <f t="shared" si="5"/>
        <v>0</v>
      </c>
    </row>
    <row r="118" spans="1:7">
      <c r="A118" s="17" t="str">
        <f>IF(BasicInfo!$A117= "", "",BasicInfo!$A117)</f>
        <v/>
      </c>
      <c r="B118" s="4"/>
      <c r="C118" s="4"/>
      <c r="D118" s="4"/>
      <c r="E118" s="7" t="str">
        <f t="shared" si="3"/>
        <v/>
      </c>
      <c r="F118" s="8" t="str">
        <f t="shared" si="4"/>
        <v/>
      </c>
      <c r="G118" s="10" t="str">
        <f t="shared" si="5"/>
        <v>0</v>
      </c>
    </row>
    <row r="119" spans="1:7">
      <c r="A119" s="17" t="str">
        <f>IF(BasicInfo!$A118= "", "",BasicInfo!$A118)</f>
        <v/>
      </c>
      <c r="B119" s="4"/>
      <c r="C119" s="4"/>
      <c r="D119" s="4"/>
      <c r="E119" s="7" t="str">
        <f t="shared" si="3"/>
        <v/>
      </c>
      <c r="F119" s="8" t="str">
        <f t="shared" si="4"/>
        <v/>
      </c>
      <c r="G119" s="10" t="str">
        <f t="shared" si="5"/>
        <v>0</v>
      </c>
    </row>
    <row r="120" spans="1:7">
      <c r="A120" s="17" t="str">
        <f>IF(BasicInfo!$A119= "", "",BasicInfo!$A119)</f>
        <v/>
      </c>
      <c r="B120" s="4"/>
      <c r="C120" s="4"/>
      <c r="D120" s="4"/>
      <c r="E120" s="7" t="str">
        <f t="shared" si="3"/>
        <v/>
      </c>
      <c r="F120" s="8" t="str">
        <f t="shared" si="4"/>
        <v/>
      </c>
      <c r="G120" s="10" t="str">
        <f t="shared" si="5"/>
        <v>0</v>
      </c>
    </row>
    <row r="121" spans="1:7">
      <c r="A121" s="17" t="str">
        <f>IF(BasicInfo!$A120= "", "",BasicInfo!$A120)</f>
        <v/>
      </c>
      <c r="B121" s="4"/>
      <c r="C121" s="4"/>
      <c r="D121" s="4"/>
      <c r="E121" s="7" t="str">
        <f t="shared" si="3"/>
        <v/>
      </c>
      <c r="F121" s="8" t="str">
        <f t="shared" si="4"/>
        <v/>
      </c>
      <c r="G121" s="10" t="str">
        <f t="shared" si="5"/>
        <v>0</v>
      </c>
    </row>
    <row r="122" spans="1:7">
      <c r="A122" s="17" t="str">
        <f>IF(BasicInfo!$A121= "", "",BasicInfo!$A121)</f>
        <v/>
      </c>
      <c r="B122" s="4"/>
      <c r="C122" s="4"/>
      <c r="D122" s="4"/>
      <c r="E122" s="7" t="str">
        <f t="shared" si="3"/>
        <v/>
      </c>
      <c r="F122" s="8" t="str">
        <f t="shared" si="4"/>
        <v/>
      </c>
      <c r="G122" s="10" t="str">
        <f t="shared" si="5"/>
        <v>0</v>
      </c>
    </row>
    <row r="123" spans="1:7">
      <c r="A123" s="17" t="str">
        <f>IF(BasicInfo!$A122= "", "",BasicInfo!$A122)</f>
        <v/>
      </c>
      <c r="B123" s="4"/>
      <c r="C123" s="4"/>
      <c r="D123" s="4"/>
      <c r="E123" s="7" t="str">
        <f t="shared" si="3"/>
        <v/>
      </c>
      <c r="F123" s="8" t="str">
        <f t="shared" si="4"/>
        <v/>
      </c>
      <c r="G123" s="10" t="str">
        <f t="shared" si="5"/>
        <v>0</v>
      </c>
    </row>
    <row r="124" spans="1:7">
      <c r="A124" s="17" t="str">
        <f>IF(BasicInfo!$A123= "", "",BasicInfo!$A123)</f>
        <v/>
      </c>
      <c r="B124" s="4"/>
      <c r="C124" s="4"/>
      <c r="D124" s="4"/>
      <c r="E124" s="7" t="str">
        <f t="shared" si="3"/>
        <v/>
      </c>
      <c r="F124" s="8" t="str">
        <f t="shared" si="4"/>
        <v/>
      </c>
      <c r="G124" s="10" t="str">
        <f t="shared" si="5"/>
        <v>0</v>
      </c>
    </row>
    <row r="125" spans="1:7">
      <c r="A125" s="17" t="str">
        <f>IF(BasicInfo!$A124= "", "",BasicInfo!$A124)</f>
        <v/>
      </c>
      <c r="B125" s="4"/>
      <c r="C125" s="4"/>
      <c r="D125" s="4"/>
      <c r="E125" s="7" t="str">
        <f t="shared" si="3"/>
        <v/>
      </c>
      <c r="F125" s="8" t="str">
        <f t="shared" si="4"/>
        <v/>
      </c>
      <c r="G125" s="10" t="str">
        <f t="shared" si="5"/>
        <v>0</v>
      </c>
    </row>
    <row r="126" spans="1:7">
      <c r="A126" s="17" t="str">
        <f>IF(BasicInfo!$A125= "", "",BasicInfo!$A125)</f>
        <v/>
      </c>
      <c r="B126" s="4"/>
      <c r="C126" s="4"/>
      <c r="D126" s="4"/>
      <c r="E126" s="7" t="str">
        <f t="shared" si="3"/>
        <v/>
      </c>
      <c r="F126" s="8" t="str">
        <f t="shared" si="4"/>
        <v/>
      </c>
      <c r="G126" s="10" t="str">
        <f t="shared" si="5"/>
        <v>0</v>
      </c>
    </row>
    <row r="127" spans="1:7">
      <c r="A127" s="17" t="str">
        <f>IF(BasicInfo!$A126= "", "",BasicInfo!$A126)</f>
        <v/>
      </c>
      <c r="B127" s="4"/>
      <c r="C127" s="4"/>
      <c r="D127" s="4"/>
      <c r="E127" s="7" t="str">
        <f t="shared" si="3"/>
        <v/>
      </c>
      <c r="F127" s="8" t="str">
        <f t="shared" si="4"/>
        <v/>
      </c>
      <c r="G127" s="10" t="str">
        <f t="shared" si="5"/>
        <v>0</v>
      </c>
    </row>
    <row r="128" spans="1:7">
      <c r="A128" s="17" t="str">
        <f>IF(BasicInfo!$A127= "", "",BasicInfo!$A127)</f>
        <v/>
      </c>
      <c r="B128" s="4"/>
      <c r="C128" s="4"/>
      <c r="D128" s="4"/>
      <c r="E128" s="7" t="str">
        <f t="shared" si="3"/>
        <v/>
      </c>
      <c r="F128" s="8" t="str">
        <f t="shared" si="4"/>
        <v/>
      </c>
      <c r="G128" s="10" t="str">
        <f t="shared" si="5"/>
        <v>0</v>
      </c>
    </row>
    <row r="129" spans="1:7">
      <c r="A129" s="17" t="str">
        <f>IF(BasicInfo!$A128= "", "",BasicInfo!$A128)</f>
        <v/>
      </c>
      <c r="B129" s="4"/>
      <c r="C129" s="4"/>
      <c r="D129" s="4"/>
      <c r="E129" s="7" t="str">
        <f t="shared" si="3"/>
        <v/>
      </c>
      <c r="F129" s="8" t="str">
        <f t="shared" si="4"/>
        <v/>
      </c>
      <c r="G129" s="10" t="str">
        <f t="shared" si="5"/>
        <v>0</v>
      </c>
    </row>
    <row r="130" spans="1:7">
      <c r="A130" s="17" t="str">
        <f>IF(BasicInfo!$A129= "", "",BasicInfo!$A129)</f>
        <v/>
      </c>
      <c r="B130" s="4"/>
      <c r="C130" s="4"/>
      <c r="D130" s="4"/>
      <c r="E130" s="7" t="str">
        <f t="shared" si="3"/>
        <v/>
      </c>
      <c r="F130" s="8" t="str">
        <f t="shared" si="4"/>
        <v/>
      </c>
      <c r="G130" s="10" t="str">
        <f t="shared" si="5"/>
        <v>0</v>
      </c>
    </row>
    <row r="131" spans="1:7">
      <c r="A131" s="17" t="str">
        <f>IF(BasicInfo!$A130= "", "",BasicInfo!$A130)</f>
        <v/>
      </c>
      <c r="B131" s="4"/>
      <c r="C131" s="4"/>
      <c r="D131" s="4"/>
      <c r="E131" s="7" t="str">
        <f t="shared" si="3"/>
        <v/>
      </c>
      <c r="F131" s="8" t="str">
        <f t="shared" si="4"/>
        <v/>
      </c>
      <c r="G131" s="10" t="str">
        <f t="shared" si="5"/>
        <v>0</v>
      </c>
    </row>
    <row r="132" spans="1:7">
      <c r="A132" s="17" t="str">
        <f>IF(BasicInfo!$A131= "", "",BasicInfo!$A131)</f>
        <v/>
      </c>
      <c r="B132" s="4"/>
      <c r="C132" s="4"/>
      <c r="D132" s="4"/>
      <c r="E132" s="7" t="str">
        <f t="shared" si="3"/>
        <v/>
      </c>
      <c r="F132" s="8" t="str">
        <f t="shared" si="4"/>
        <v/>
      </c>
      <c r="G132" s="10" t="str">
        <f t="shared" si="5"/>
        <v>0</v>
      </c>
    </row>
    <row r="133" spans="1:7">
      <c r="A133" s="17" t="str">
        <f>IF(BasicInfo!$A132= "", "",BasicInfo!$A132)</f>
        <v/>
      </c>
      <c r="B133" s="4"/>
      <c r="C133" s="4"/>
      <c r="D133" s="4"/>
      <c r="E133" s="7" t="str">
        <f t="shared" ref="E133:E196" si="6">IF((B133+4*C133+D133)/6 =0,"",(B133+4*C133+D133)/6)</f>
        <v/>
      </c>
      <c r="F133" s="8" t="str">
        <f t="shared" ref="F133:F196" si="7">IF(E133&lt;&gt;"",((D133-B133)/6)/E133,"")</f>
        <v/>
      </c>
      <c r="G133" s="10" t="str">
        <f t="shared" ref="G133:G196" si="8">IF(E133="","0",E133)</f>
        <v>0</v>
      </c>
    </row>
    <row r="134" spans="1:7">
      <c r="A134" s="17" t="str">
        <f>IF(BasicInfo!$A133= "", "",BasicInfo!$A133)</f>
        <v/>
      </c>
      <c r="B134" s="4"/>
      <c r="C134" s="4"/>
      <c r="D134" s="4"/>
      <c r="E134" s="7" t="str">
        <f t="shared" si="6"/>
        <v/>
      </c>
      <c r="F134" s="8" t="str">
        <f t="shared" si="7"/>
        <v/>
      </c>
      <c r="G134" s="10" t="str">
        <f t="shared" si="8"/>
        <v>0</v>
      </c>
    </row>
    <row r="135" spans="1:7">
      <c r="A135" s="17" t="str">
        <f>IF(BasicInfo!$A134= "", "",BasicInfo!$A134)</f>
        <v/>
      </c>
      <c r="B135" s="4"/>
      <c r="C135" s="4"/>
      <c r="D135" s="4"/>
      <c r="E135" s="7" t="str">
        <f t="shared" si="6"/>
        <v/>
      </c>
      <c r="F135" s="8" t="str">
        <f t="shared" si="7"/>
        <v/>
      </c>
      <c r="G135" s="10" t="str">
        <f t="shared" si="8"/>
        <v>0</v>
      </c>
    </row>
    <row r="136" spans="1:7">
      <c r="A136" s="17" t="str">
        <f>IF(BasicInfo!$A135= "", "",BasicInfo!$A135)</f>
        <v/>
      </c>
      <c r="B136" s="4"/>
      <c r="C136" s="4"/>
      <c r="D136" s="4"/>
      <c r="E136" s="7" t="str">
        <f t="shared" si="6"/>
        <v/>
      </c>
      <c r="F136" s="8" t="str">
        <f t="shared" si="7"/>
        <v/>
      </c>
      <c r="G136" s="10" t="str">
        <f t="shared" si="8"/>
        <v>0</v>
      </c>
    </row>
    <row r="137" spans="1:7">
      <c r="A137" s="17" t="str">
        <f>IF(BasicInfo!$A136= "", "",BasicInfo!$A136)</f>
        <v/>
      </c>
      <c r="B137" s="4"/>
      <c r="C137" s="4"/>
      <c r="D137" s="4"/>
      <c r="E137" s="7" t="str">
        <f t="shared" si="6"/>
        <v/>
      </c>
      <c r="F137" s="8" t="str">
        <f t="shared" si="7"/>
        <v/>
      </c>
      <c r="G137" s="10" t="str">
        <f t="shared" si="8"/>
        <v>0</v>
      </c>
    </row>
    <row r="138" spans="1:7">
      <c r="A138" s="17" t="str">
        <f>IF(BasicInfo!$A137= "", "",BasicInfo!$A137)</f>
        <v/>
      </c>
      <c r="B138" s="4"/>
      <c r="C138" s="4"/>
      <c r="D138" s="4"/>
      <c r="E138" s="7" t="str">
        <f t="shared" si="6"/>
        <v/>
      </c>
      <c r="F138" s="8" t="str">
        <f t="shared" si="7"/>
        <v/>
      </c>
      <c r="G138" s="10" t="str">
        <f t="shared" si="8"/>
        <v>0</v>
      </c>
    </row>
    <row r="139" spans="1:7">
      <c r="A139" s="17" t="str">
        <f>IF(BasicInfo!$A138= "", "",BasicInfo!$A138)</f>
        <v/>
      </c>
      <c r="B139" s="4"/>
      <c r="C139" s="4"/>
      <c r="D139" s="4"/>
      <c r="E139" s="7" t="str">
        <f t="shared" si="6"/>
        <v/>
      </c>
      <c r="F139" s="8" t="str">
        <f t="shared" si="7"/>
        <v/>
      </c>
      <c r="G139" s="10" t="str">
        <f t="shared" si="8"/>
        <v>0</v>
      </c>
    </row>
    <row r="140" spans="1:7">
      <c r="A140" s="17" t="str">
        <f>IF(BasicInfo!$A139= "", "",BasicInfo!$A139)</f>
        <v/>
      </c>
      <c r="B140" s="4"/>
      <c r="C140" s="4"/>
      <c r="D140" s="4"/>
      <c r="E140" s="7" t="str">
        <f t="shared" si="6"/>
        <v/>
      </c>
      <c r="F140" s="8" t="str">
        <f t="shared" si="7"/>
        <v/>
      </c>
      <c r="G140" s="10" t="str">
        <f t="shared" si="8"/>
        <v>0</v>
      </c>
    </row>
    <row r="141" spans="1:7">
      <c r="A141" s="17" t="str">
        <f>IF(BasicInfo!$A140= "", "",BasicInfo!$A140)</f>
        <v/>
      </c>
      <c r="B141" s="4"/>
      <c r="C141" s="4"/>
      <c r="D141" s="4"/>
      <c r="E141" s="7" t="str">
        <f t="shared" si="6"/>
        <v/>
      </c>
      <c r="F141" s="8" t="str">
        <f t="shared" si="7"/>
        <v/>
      </c>
      <c r="G141" s="10" t="str">
        <f t="shared" si="8"/>
        <v>0</v>
      </c>
    </row>
    <row r="142" spans="1:7">
      <c r="A142" s="17" t="str">
        <f>IF(BasicInfo!$A141= "", "",BasicInfo!$A141)</f>
        <v/>
      </c>
      <c r="B142" s="4"/>
      <c r="C142" s="4"/>
      <c r="D142" s="4"/>
      <c r="E142" s="7" t="str">
        <f t="shared" si="6"/>
        <v/>
      </c>
      <c r="F142" s="8" t="str">
        <f t="shared" si="7"/>
        <v/>
      </c>
      <c r="G142" s="10" t="str">
        <f t="shared" si="8"/>
        <v>0</v>
      </c>
    </row>
    <row r="143" spans="1:7">
      <c r="A143" s="17" t="str">
        <f>IF(BasicInfo!$A142= "", "",BasicInfo!$A142)</f>
        <v/>
      </c>
      <c r="B143" s="4"/>
      <c r="C143" s="4"/>
      <c r="D143" s="4"/>
      <c r="E143" s="7" t="str">
        <f t="shared" si="6"/>
        <v/>
      </c>
      <c r="F143" s="8" t="str">
        <f t="shared" si="7"/>
        <v/>
      </c>
      <c r="G143" s="10" t="str">
        <f t="shared" si="8"/>
        <v>0</v>
      </c>
    </row>
    <row r="144" spans="1:7">
      <c r="A144" s="17" t="str">
        <f>IF(BasicInfo!$A143= "", "",BasicInfo!$A143)</f>
        <v/>
      </c>
      <c r="B144" s="4"/>
      <c r="C144" s="4"/>
      <c r="D144" s="4"/>
      <c r="E144" s="7" t="str">
        <f t="shared" si="6"/>
        <v/>
      </c>
      <c r="F144" s="8" t="str">
        <f t="shared" si="7"/>
        <v/>
      </c>
      <c r="G144" s="10" t="str">
        <f t="shared" si="8"/>
        <v>0</v>
      </c>
    </row>
    <row r="145" spans="1:7">
      <c r="A145" s="17" t="str">
        <f>IF(BasicInfo!$A144= "", "",BasicInfo!$A144)</f>
        <v/>
      </c>
      <c r="B145" s="4"/>
      <c r="C145" s="4"/>
      <c r="D145" s="4"/>
      <c r="E145" s="7" t="str">
        <f t="shared" si="6"/>
        <v/>
      </c>
      <c r="F145" s="8" t="str">
        <f t="shared" si="7"/>
        <v/>
      </c>
      <c r="G145" s="10" t="str">
        <f t="shared" si="8"/>
        <v>0</v>
      </c>
    </row>
    <row r="146" spans="1:7">
      <c r="A146" s="17" t="str">
        <f>IF(BasicInfo!$A145= "", "",BasicInfo!$A145)</f>
        <v/>
      </c>
      <c r="B146" s="4"/>
      <c r="C146" s="4"/>
      <c r="D146" s="4"/>
      <c r="E146" s="7" t="str">
        <f t="shared" si="6"/>
        <v/>
      </c>
      <c r="F146" s="8" t="str">
        <f t="shared" si="7"/>
        <v/>
      </c>
      <c r="G146" s="10" t="str">
        <f t="shared" si="8"/>
        <v>0</v>
      </c>
    </row>
    <row r="147" spans="1:7">
      <c r="A147" s="17" t="str">
        <f>IF(BasicInfo!$A146= "", "",BasicInfo!$A146)</f>
        <v/>
      </c>
      <c r="B147" s="4"/>
      <c r="C147" s="4"/>
      <c r="D147" s="4"/>
      <c r="E147" s="7" t="str">
        <f t="shared" si="6"/>
        <v/>
      </c>
      <c r="F147" s="8" t="str">
        <f t="shared" si="7"/>
        <v/>
      </c>
      <c r="G147" s="10" t="str">
        <f t="shared" si="8"/>
        <v>0</v>
      </c>
    </row>
    <row r="148" spans="1:7">
      <c r="A148" s="17" t="str">
        <f>IF(BasicInfo!$A147= "", "",BasicInfo!$A147)</f>
        <v/>
      </c>
      <c r="B148" s="4"/>
      <c r="C148" s="4"/>
      <c r="D148" s="4"/>
      <c r="E148" s="7" t="str">
        <f t="shared" si="6"/>
        <v/>
      </c>
      <c r="F148" s="8" t="str">
        <f t="shared" si="7"/>
        <v/>
      </c>
      <c r="G148" s="10" t="str">
        <f t="shared" si="8"/>
        <v>0</v>
      </c>
    </row>
    <row r="149" spans="1:7">
      <c r="A149" s="17" t="str">
        <f>IF(BasicInfo!$A148= "", "",BasicInfo!$A148)</f>
        <v/>
      </c>
      <c r="B149" s="4"/>
      <c r="C149" s="4"/>
      <c r="D149" s="4"/>
      <c r="E149" s="7" t="str">
        <f t="shared" si="6"/>
        <v/>
      </c>
      <c r="F149" s="8" t="str">
        <f t="shared" si="7"/>
        <v/>
      </c>
      <c r="G149" s="10" t="str">
        <f t="shared" si="8"/>
        <v>0</v>
      </c>
    </row>
    <row r="150" spans="1:7">
      <c r="A150" s="17" t="str">
        <f>IF(BasicInfo!$A149= "", "",BasicInfo!$A149)</f>
        <v/>
      </c>
      <c r="B150" s="4"/>
      <c r="C150" s="4"/>
      <c r="D150" s="4"/>
      <c r="E150" s="7" t="str">
        <f t="shared" si="6"/>
        <v/>
      </c>
      <c r="F150" s="8" t="str">
        <f t="shared" si="7"/>
        <v/>
      </c>
      <c r="G150" s="10" t="str">
        <f t="shared" si="8"/>
        <v>0</v>
      </c>
    </row>
    <row r="151" spans="1:7">
      <c r="A151" s="17" t="str">
        <f>IF(BasicInfo!$A150= "", "",BasicInfo!$A150)</f>
        <v/>
      </c>
      <c r="B151" s="4"/>
      <c r="C151" s="4"/>
      <c r="D151" s="4"/>
      <c r="E151" s="7" t="str">
        <f t="shared" si="6"/>
        <v/>
      </c>
      <c r="F151" s="8" t="str">
        <f t="shared" si="7"/>
        <v/>
      </c>
      <c r="G151" s="10" t="str">
        <f t="shared" si="8"/>
        <v>0</v>
      </c>
    </row>
    <row r="152" spans="1:7">
      <c r="A152" s="17" t="str">
        <f>IF(BasicInfo!$A151= "", "",BasicInfo!$A151)</f>
        <v/>
      </c>
      <c r="B152" s="4"/>
      <c r="C152" s="4"/>
      <c r="D152" s="4"/>
      <c r="E152" s="7" t="str">
        <f t="shared" si="6"/>
        <v/>
      </c>
      <c r="F152" s="8" t="str">
        <f t="shared" si="7"/>
        <v/>
      </c>
      <c r="G152" s="10" t="str">
        <f t="shared" si="8"/>
        <v>0</v>
      </c>
    </row>
    <row r="153" spans="1:7">
      <c r="A153" s="17" t="str">
        <f>IF(BasicInfo!$A152= "", "",BasicInfo!$A152)</f>
        <v/>
      </c>
      <c r="B153" s="4"/>
      <c r="C153" s="4"/>
      <c r="D153" s="4"/>
      <c r="E153" s="7" t="str">
        <f t="shared" si="6"/>
        <v/>
      </c>
      <c r="F153" s="8" t="str">
        <f t="shared" si="7"/>
        <v/>
      </c>
      <c r="G153" s="10" t="str">
        <f t="shared" si="8"/>
        <v>0</v>
      </c>
    </row>
    <row r="154" spans="1:7">
      <c r="A154" s="17" t="str">
        <f>IF(BasicInfo!$A153= "", "",BasicInfo!$A153)</f>
        <v/>
      </c>
      <c r="B154" s="4"/>
      <c r="C154" s="4"/>
      <c r="D154" s="4"/>
      <c r="E154" s="7" t="str">
        <f t="shared" si="6"/>
        <v/>
      </c>
      <c r="F154" s="8" t="str">
        <f t="shared" si="7"/>
        <v/>
      </c>
      <c r="G154" s="10" t="str">
        <f t="shared" si="8"/>
        <v>0</v>
      </c>
    </row>
    <row r="155" spans="1:7">
      <c r="A155" s="17" t="str">
        <f>IF(BasicInfo!$A154= "", "",BasicInfo!$A154)</f>
        <v/>
      </c>
      <c r="B155" s="4"/>
      <c r="C155" s="4"/>
      <c r="D155" s="4"/>
      <c r="E155" s="7" t="str">
        <f t="shared" si="6"/>
        <v/>
      </c>
      <c r="F155" s="8" t="str">
        <f t="shared" si="7"/>
        <v/>
      </c>
      <c r="G155" s="10" t="str">
        <f t="shared" si="8"/>
        <v>0</v>
      </c>
    </row>
    <row r="156" spans="1:7">
      <c r="A156" s="17" t="str">
        <f>IF(BasicInfo!$A155= "", "",BasicInfo!$A155)</f>
        <v/>
      </c>
      <c r="B156" s="4"/>
      <c r="C156" s="4"/>
      <c r="D156" s="4"/>
      <c r="E156" s="7" t="str">
        <f t="shared" si="6"/>
        <v/>
      </c>
      <c r="F156" s="8" t="str">
        <f t="shared" si="7"/>
        <v/>
      </c>
      <c r="G156" s="10" t="str">
        <f t="shared" si="8"/>
        <v>0</v>
      </c>
    </row>
    <row r="157" spans="1:7">
      <c r="A157" s="17" t="str">
        <f>IF(BasicInfo!$A156= "", "",BasicInfo!$A156)</f>
        <v/>
      </c>
      <c r="B157" s="4"/>
      <c r="C157" s="4"/>
      <c r="D157" s="4"/>
      <c r="E157" s="7" t="str">
        <f t="shared" si="6"/>
        <v/>
      </c>
      <c r="F157" s="8" t="str">
        <f t="shared" si="7"/>
        <v/>
      </c>
      <c r="G157" s="10" t="str">
        <f t="shared" si="8"/>
        <v>0</v>
      </c>
    </row>
    <row r="158" spans="1:7">
      <c r="A158" s="17" t="str">
        <f>IF(BasicInfo!$A157= "", "",BasicInfo!$A157)</f>
        <v/>
      </c>
      <c r="B158" s="4"/>
      <c r="C158" s="4"/>
      <c r="D158" s="4"/>
      <c r="E158" s="7" t="str">
        <f t="shared" si="6"/>
        <v/>
      </c>
      <c r="F158" s="8" t="str">
        <f t="shared" si="7"/>
        <v/>
      </c>
      <c r="G158" s="10" t="str">
        <f t="shared" si="8"/>
        <v>0</v>
      </c>
    </row>
    <row r="159" spans="1:7">
      <c r="A159" s="17" t="str">
        <f>IF(BasicInfo!$A158= "", "",BasicInfo!$A158)</f>
        <v/>
      </c>
      <c r="B159" s="4"/>
      <c r="C159" s="4"/>
      <c r="D159" s="4"/>
      <c r="E159" s="7" t="str">
        <f t="shared" si="6"/>
        <v/>
      </c>
      <c r="F159" s="8" t="str">
        <f t="shared" si="7"/>
        <v/>
      </c>
      <c r="G159" s="10" t="str">
        <f t="shared" si="8"/>
        <v>0</v>
      </c>
    </row>
    <row r="160" spans="1:7">
      <c r="A160" s="17" t="str">
        <f>IF(BasicInfo!$A159= "", "",BasicInfo!$A159)</f>
        <v/>
      </c>
      <c r="B160" s="4"/>
      <c r="C160" s="4"/>
      <c r="D160" s="4"/>
      <c r="E160" s="7" t="str">
        <f t="shared" si="6"/>
        <v/>
      </c>
      <c r="F160" s="8" t="str">
        <f t="shared" si="7"/>
        <v/>
      </c>
      <c r="G160" s="10" t="str">
        <f t="shared" si="8"/>
        <v>0</v>
      </c>
    </row>
    <row r="161" spans="1:7">
      <c r="A161" s="17" t="str">
        <f>IF(BasicInfo!$A160= "", "",BasicInfo!$A160)</f>
        <v/>
      </c>
      <c r="B161" s="4"/>
      <c r="C161" s="4"/>
      <c r="D161" s="4"/>
      <c r="E161" s="7" t="str">
        <f t="shared" si="6"/>
        <v/>
      </c>
      <c r="F161" s="8" t="str">
        <f t="shared" si="7"/>
        <v/>
      </c>
      <c r="G161" s="10" t="str">
        <f t="shared" si="8"/>
        <v>0</v>
      </c>
    </row>
    <row r="162" spans="1:7">
      <c r="A162" s="17" t="str">
        <f>IF(BasicInfo!$A161= "", "",BasicInfo!$A161)</f>
        <v/>
      </c>
      <c r="B162" s="4"/>
      <c r="C162" s="4"/>
      <c r="D162" s="4"/>
      <c r="E162" s="7" t="str">
        <f t="shared" si="6"/>
        <v/>
      </c>
      <c r="F162" s="8" t="str">
        <f t="shared" si="7"/>
        <v/>
      </c>
      <c r="G162" s="10" t="str">
        <f t="shared" si="8"/>
        <v>0</v>
      </c>
    </row>
    <row r="163" spans="1:7">
      <c r="A163" s="17" t="str">
        <f>IF(BasicInfo!$A162= "", "",BasicInfo!$A162)</f>
        <v/>
      </c>
      <c r="B163" s="4"/>
      <c r="C163" s="4"/>
      <c r="D163" s="4"/>
      <c r="E163" s="7" t="str">
        <f t="shared" si="6"/>
        <v/>
      </c>
      <c r="F163" s="8" t="str">
        <f t="shared" si="7"/>
        <v/>
      </c>
      <c r="G163" s="10" t="str">
        <f t="shared" si="8"/>
        <v>0</v>
      </c>
    </row>
    <row r="164" spans="1:7">
      <c r="A164" s="17" t="str">
        <f>IF(BasicInfo!$A163= "", "",BasicInfo!$A163)</f>
        <v/>
      </c>
      <c r="B164" s="4"/>
      <c r="C164" s="4"/>
      <c r="D164" s="4"/>
      <c r="E164" s="7" t="str">
        <f t="shared" si="6"/>
        <v/>
      </c>
      <c r="F164" s="8" t="str">
        <f t="shared" si="7"/>
        <v/>
      </c>
      <c r="G164" s="10" t="str">
        <f t="shared" si="8"/>
        <v>0</v>
      </c>
    </row>
    <row r="165" spans="1:7">
      <c r="A165" s="17" t="str">
        <f>IF(BasicInfo!$A164= "", "",BasicInfo!$A164)</f>
        <v/>
      </c>
      <c r="B165" s="4"/>
      <c r="C165" s="4"/>
      <c r="D165" s="4"/>
      <c r="E165" s="7" t="str">
        <f t="shared" si="6"/>
        <v/>
      </c>
      <c r="F165" s="8" t="str">
        <f t="shared" si="7"/>
        <v/>
      </c>
      <c r="G165" s="10" t="str">
        <f t="shared" si="8"/>
        <v>0</v>
      </c>
    </row>
    <row r="166" spans="1:7">
      <c r="A166" s="17" t="str">
        <f>IF(BasicInfo!$A165= "", "",BasicInfo!$A165)</f>
        <v/>
      </c>
      <c r="B166" s="4"/>
      <c r="C166" s="4"/>
      <c r="D166" s="4"/>
      <c r="E166" s="7" t="str">
        <f t="shared" si="6"/>
        <v/>
      </c>
      <c r="F166" s="8" t="str">
        <f t="shared" si="7"/>
        <v/>
      </c>
      <c r="G166" s="10" t="str">
        <f t="shared" si="8"/>
        <v>0</v>
      </c>
    </row>
    <row r="167" spans="1:7">
      <c r="A167" s="17" t="str">
        <f>IF(BasicInfo!$A166= "", "",BasicInfo!$A166)</f>
        <v/>
      </c>
      <c r="B167" s="4"/>
      <c r="C167" s="4"/>
      <c r="D167" s="4"/>
      <c r="E167" s="7" t="str">
        <f t="shared" si="6"/>
        <v/>
      </c>
      <c r="F167" s="8" t="str">
        <f t="shared" si="7"/>
        <v/>
      </c>
      <c r="G167" s="10" t="str">
        <f t="shared" si="8"/>
        <v>0</v>
      </c>
    </row>
    <row r="168" spans="1:7">
      <c r="A168" s="17" t="str">
        <f>IF(BasicInfo!$A167= "", "",BasicInfo!$A167)</f>
        <v/>
      </c>
      <c r="B168" s="4"/>
      <c r="C168" s="4"/>
      <c r="D168" s="4"/>
      <c r="E168" s="7" t="str">
        <f t="shared" si="6"/>
        <v/>
      </c>
      <c r="F168" s="8" t="str">
        <f t="shared" si="7"/>
        <v/>
      </c>
      <c r="G168" s="10" t="str">
        <f t="shared" si="8"/>
        <v>0</v>
      </c>
    </row>
    <row r="169" spans="1:7">
      <c r="A169" s="17" t="str">
        <f>IF(BasicInfo!$A168= "", "",BasicInfo!$A168)</f>
        <v/>
      </c>
      <c r="B169" s="4"/>
      <c r="C169" s="4"/>
      <c r="D169" s="4"/>
      <c r="E169" s="7" t="str">
        <f t="shared" si="6"/>
        <v/>
      </c>
      <c r="F169" s="8" t="str">
        <f t="shared" si="7"/>
        <v/>
      </c>
      <c r="G169" s="10" t="str">
        <f t="shared" si="8"/>
        <v>0</v>
      </c>
    </row>
    <row r="170" spans="1:7">
      <c r="A170" s="17" t="str">
        <f>IF(BasicInfo!$A169= "", "",BasicInfo!$A169)</f>
        <v/>
      </c>
      <c r="B170" s="4"/>
      <c r="C170" s="4"/>
      <c r="D170" s="4"/>
      <c r="E170" s="7" t="str">
        <f t="shared" si="6"/>
        <v/>
      </c>
      <c r="F170" s="8" t="str">
        <f t="shared" si="7"/>
        <v/>
      </c>
      <c r="G170" s="10" t="str">
        <f t="shared" si="8"/>
        <v>0</v>
      </c>
    </row>
    <row r="171" spans="1:7">
      <c r="A171" s="17" t="str">
        <f>IF(BasicInfo!$A170= "", "",BasicInfo!$A170)</f>
        <v/>
      </c>
      <c r="B171" s="4"/>
      <c r="C171" s="4"/>
      <c r="D171" s="4"/>
      <c r="E171" s="7" t="str">
        <f t="shared" si="6"/>
        <v/>
      </c>
      <c r="F171" s="8" t="str">
        <f t="shared" si="7"/>
        <v/>
      </c>
      <c r="G171" s="10" t="str">
        <f t="shared" si="8"/>
        <v>0</v>
      </c>
    </row>
    <row r="172" spans="1:7">
      <c r="A172" s="17" t="str">
        <f>IF(BasicInfo!$A171= "", "",BasicInfo!$A171)</f>
        <v/>
      </c>
      <c r="B172" s="4"/>
      <c r="C172" s="4"/>
      <c r="D172" s="4"/>
      <c r="E172" s="7" t="str">
        <f t="shared" si="6"/>
        <v/>
      </c>
      <c r="F172" s="8" t="str">
        <f t="shared" si="7"/>
        <v/>
      </c>
      <c r="G172" s="10" t="str">
        <f t="shared" si="8"/>
        <v>0</v>
      </c>
    </row>
    <row r="173" spans="1:7">
      <c r="A173" s="17" t="str">
        <f>IF(BasicInfo!$A172= "", "",BasicInfo!$A172)</f>
        <v/>
      </c>
      <c r="B173" s="4"/>
      <c r="C173" s="4"/>
      <c r="D173" s="4"/>
      <c r="E173" s="7" t="str">
        <f t="shared" si="6"/>
        <v/>
      </c>
      <c r="F173" s="8" t="str">
        <f t="shared" si="7"/>
        <v/>
      </c>
      <c r="G173" s="10" t="str">
        <f t="shared" si="8"/>
        <v>0</v>
      </c>
    </row>
    <row r="174" spans="1:7">
      <c r="A174" s="17" t="str">
        <f>IF(BasicInfo!$A173= "", "",BasicInfo!$A173)</f>
        <v/>
      </c>
      <c r="B174" s="4"/>
      <c r="C174" s="4"/>
      <c r="D174" s="4"/>
      <c r="E174" s="7" t="str">
        <f t="shared" si="6"/>
        <v/>
      </c>
      <c r="F174" s="8" t="str">
        <f t="shared" si="7"/>
        <v/>
      </c>
      <c r="G174" s="10" t="str">
        <f t="shared" si="8"/>
        <v>0</v>
      </c>
    </row>
    <row r="175" spans="1:7">
      <c r="A175" s="17" t="str">
        <f>IF(BasicInfo!$A174= "", "",BasicInfo!$A174)</f>
        <v/>
      </c>
      <c r="B175" s="4"/>
      <c r="C175" s="4"/>
      <c r="D175" s="4"/>
      <c r="E175" s="7" t="str">
        <f t="shared" si="6"/>
        <v/>
      </c>
      <c r="F175" s="8" t="str">
        <f t="shared" si="7"/>
        <v/>
      </c>
      <c r="G175" s="10" t="str">
        <f t="shared" si="8"/>
        <v>0</v>
      </c>
    </row>
    <row r="176" spans="1:7">
      <c r="A176" s="17" t="str">
        <f>IF(BasicInfo!$A175= "", "",BasicInfo!$A175)</f>
        <v/>
      </c>
      <c r="B176" s="4"/>
      <c r="C176" s="4"/>
      <c r="D176" s="4"/>
      <c r="E176" s="7" t="str">
        <f t="shared" si="6"/>
        <v/>
      </c>
      <c r="F176" s="8" t="str">
        <f t="shared" si="7"/>
        <v/>
      </c>
      <c r="G176" s="10" t="str">
        <f t="shared" si="8"/>
        <v>0</v>
      </c>
    </row>
    <row r="177" spans="1:7">
      <c r="A177" s="17" t="str">
        <f>IF(BasicInfo!$A176= "", "",BasicInfo!$A176)</f>
        <v/>
      </c>
      <c r="B177" s="4"/>
      <c r="C177" s="4"/>
      <c r="D177" s="4"/>
      <c r="E177" s="7" t="str">
        <f t="shared" si="6"/>
        <v/>
      </c>
      <c r="F177" s="8" t="str">
        <f t="shared" si="7"/>
        <v/>
      </c>
      <c r="G177" s="10" t="str">
        <f t="shared" si="8"/>
        <v>0</v>
      </c>
    </row>
    <row r="178" spans="1:7">
      <c r="A178" s="17" t="str">
        <f>IF(BasicInfo!$A177= "", "",BasicInfo!$A177)</f>
        <v/>
      </c>
      <c r="B178" s="4"/>
      <c r="C178" s="4"/>
      <c r="D178" s="4"/>
      <c r="E178" s="7" t="str">
        <f t="shared" si="6"/>
        <v/>
      </c>
      <c r="F178" s="8" t="str">
        <f t="shared" si="7"/>
        <v/>
      </c>
      <c r="G178" s="10" t="str">
        <f t="shared" si="8"/>
        <v>0</v>
      </c>
    </row>
    <row r="179" spans="1:7">
      <c r="A179" s="17" t="str">
        <f>IF(BasicInfo!$A178= "", "",BasicInfo!$A178)</f>
        <v/>
      </c>
      <c r="B179" s="4"/>
      <c r="C179" s="4"/>
      <c r="D179" s="4"/>
      <c r="E179" s="7" t="str">
        <f t="shared" si="6"/>
        <v/>
      </c>
      <c r="F179" s="8" t="str">
        <f t="shared" si="7"/>
        <v/>
      </c>
      <c r="G179" s="10" t="str">
        <f t="shared" si="8"/>
        <v>0</v>
      </c>
    </row>
    <row r="180" spans="1:7">
      <c r="A180" s="17" t="str">
        <f>IF(BasicInfo!$A179= "", "",BasicInfo!$A179)</f>
        <v/>
      </c>
      <c r="B180" s="4"/>
      <c r="C180" s="4"/>
      <c r="D180" s="4"/>
      <c r="E180" s="7" t="str">
        <f t="shared" si="6"/>
        <v/>
      </c>
      <c r="F180" s="8" t="str">
        <f t="shared" si="7"/>
        <v/>
      </c>
      <c r="G180" s="10" t="str">
        <f t="shared" si="8"/>
        <v>0</v>
      </c>
    </row>
    <row r="181" spans="1:7">
      <c r="A181" s="17" t="str">
        <f>IF(BasicInfo!$A180= "", "",BasicInfo!$A180)</f>
        <v/>
      </c>
      <c r="B181" s="4"/>
      <c r="C181" s="4"/>
      <c r="D181" s="4"/>
      <c r="E181" s="7" t="str">
        <f t="shared" si="6"/>
        <v/>
      </c>
      <c r="F181" s="8" t="str">
        <f t="shared" si="7"/>
        <v/>
      </c>
      <c r="G181" s="10" t="str">
        <f t="shared" si="8"/>
        <v>0</v>
      </c>
    </row>
    <row r="182" spans="1:7">
      <c r="A182" s="17" t="str">
        <f>IF(BasicInfo!$A181= "", "",BasicInfo!$A181)</f>
        <v/>
      </c>
      <c r="B182" s="4"/>
      <c r="C182" s="4"/>
      <c r="D182" s="4"/>
      <c r="E182" s="7" t="str">
        <f t="shared" si="6"/>
        <v/>
      </c>
      <c r="F182" s="8" t="str">
        <f t="shared" si="7"/>
        <v/>
      </c>
      <c r="G182" s="10" t="str">
        <f t="shared" si="8"/>
        <v>0</v>
      </c>
    </row>
    <row r="183" spans="1:7">
      <c r="A183" s="17" t="str">
        <f>IF(BasicInfo!$A182= "", "",BasicInfo!$A182)</f>
        <v/>
      </c>
      <c r="B183" s="4"/>
      <c r="C183" s="4"/>
      <c r="D183" s="4"/>
      <c r="E183" s="7" t="str">
        <f t="shared" si="6"/>
        <v/>
      </c>
      <c r="F183" s="8" t="str">
        <f t="shared" si="7"/>
        <v/>
      </c>
      <c r="G183" s="10" t="str">
        <f t="shared" si="8"/>
        <v>0</v>
      </c>
    </row>
    <row r="184" spans="1:7">
      <c r="A184" s="17" t="str">
        <f>IF(BasicInfo!$A183= "", "",BasicInfo!$A183)</f>
        <v/>
      </c>
      <c r="B184" s="4"/>
      <c r="C184" s="4"/>
      <c r="D184" s="4"/>
      <c r="E184" s="7" t="str">
        <f t="shared" si="6"/>
        <v/>
      </c>
      <c r="F184" s="8" t="str">
        <f t="shared" si="7"/>
        <v/>
      </c>
      <c r="G184" s="10" t="str">
        <f t="shared" si="8"/>
        <v>0</v>
      </c>
    </row>
    <row r="185" spans="1:7">
      <c r="A185" s="17" t="str">
        <f>IF(BasicInfo!$A184= "", "",BasicInfo!$A184)</f>
        <v/>
      </c>
      <c r="B185" s="4"/>
      <c r="C185" s="4"/>
      <c r="D185" s="4"/>
      <c r="E185" s="7" t="str">
        <f t="shared" si="6"/>
        <v/>
      </c>
      <c r="F185" s="8" t="str">
        <f t="shared" si="7"/>
        <v/>
      </c>
      <c r="G185" s="10" t="str">
        <f t="shared" si="8"/>
        <v>0</v>
      </c>
    </row>
    <row r="186" spans="1:7">
      <c r="A186" s="17" t="str">
        <f>IF(BasicInfo!$A185= "", "",BasicInfo!$A185)</f>
        <v/>
      </c>
      <c r="B186" s="4"/>
      <c r="C186" s="4"/>
      <c r="D186" s="4"/>
      <c r="E186" s="7" t="str">
        <f t="shared" si="6"/>
        <v/>
      </c>
      <c r="F186" s="8" t="str">
        <f t="shared" si="7"/>
        <v/>
      </c>
      <c r="G186" s="10" t="str">
        <f t="shared" si="8"/>
        <v>0</v>
      </c>
    </row>
    <row r="187" spans="1:7">
      <c r="A187" s="17" t="str">
        <f>IF(BasicInfo!$A186= "", "",BasicInfo!$A186)</f>
        <v/>
      </c>
      <c r="B187" s="4"/>
      <c r="C187" s="4"/>
      <c r="D187" s="4"/>
      <c r="E187" s="7" t="str">
        <f t="shared" si="6"/>
        <v/>
      </c>
      <c r="F187" s="8" t="str">
        <f t="shared" si="7"/>
        <v/>
      </c>
      <c r="G187" s="10" t="str">
        <f t="shared" si="8"/>
        <v>0</v>
      </c>
    </row>
    <row r="188" spans="1:7">
      <c r="A188" s="17" t="str">
        <f>IF(BasicInfo!$A187= "", "",BasicInfo!$A187)</f>
        <v/>
      </c>
      <c r="B188" s="4"/>
      <c r="C188" s="4"/>
      <c r="D188" s="4"/>
      <c r="E188" s="7" t="str">
        <f t="shared" si="6"/>
        <v/>
      </c>
      <c r="F188" s="8" t="str">
        <f t="shared" si="7"/>
        <v/>
      </c>
      <c r="G188" s="10" t="str">
        <f t="shared" si="8"/>
        <v>0</v>
      </c>
    </row>
    <row r="189" spans="1:7">
      <c r="A189" s="17" t="str">
        <f>IF(BasicInfo!$A188= "", "",BasicInfo!$A188)</f>
        <v/>
      </c>
      <c r="B189" s="4"/>
      <c r="C189" s="4"/>
      <c r="D189" s="4"/>
      <c r="E189" s="7" t="str">
        <f t="shared" si="6"/>
        <v/>
      </c>
      <c r="F189" s="8" t="str">
        <f t="shared" si="7"/>
        <v/>
      </c>
      <c r="G189" s="10" t="str">
        <f t="shared" si="8"/>
        <v>0</v>
      </c>
    </row>
    <row r="190" spans="1:7">
      <c r="A190" s="17" t="str">
        <f>IF(BasicInfo!$A189= "", "",BasicInfo!$A189)</f>
        <v/>
      </c>
      <c r="B190" s="4"/>
      <c r="C190" s="4"/>
      <c r="D190" s="4"/>
      <c r="E190" s="7" t="str">
        <f t="shared" si="6"/>
        <v/>
      </c>
      <c r="F190" s="8" t="str">
        <f t="shared" si="7"/>
        <v/>
      </c>
      <c r="G190" s="10" t="str">
        <f t="shared" si="8"/>
        <v>0</v>
      </c>
    </row>
    <row r="191" spans="1:7">
      <c r="A191" s="17" t="str">
        <f>IF(BasicInfo!$A190= "", "",BasicInfo!$A190)</f>
        <v/>
      </c>
      <c r="B191" s="4"/>
      <c r="C191" s="4"/>
      <c r="D191" s="4"/>
      <c r="E191" s="7" t="str">
        <f t="shared" si="6"/>
        <v/>
      </c>
      <c r="F191" s="8" t="str">
        <f t="shared" si="7"/>
        <v/>
      </c>
      <c r="G191" s="10" t="str">
        <f t="shared" si="8"/>
        <v>0</v>
      </c>
    </row>
    <row r="192" spans="1:7">
      <c r="A192" s="17" t="str">
        <f>IF(BasicInfo!$A191= "", "",BasicInfo!$A191)</f>
        <v/>
      </c>
      <c r="B192" s="4"/>
      <c r="C192" s="4"/>
      <c r="D192" s="4"/>
      <c r="E192" s="7" t="str">
        <f t="shared" si="6"/>
        <v/>
      </c>
      <c r="F192" s="8" t="str">
        <f t="shared" si="7"/>
        <v/>
      </c>
      <c r="G192" s="10" t="str">
        <f t="shared" si="8"/>
        <v>0</v>
      </c>
    </row>
    <row r="193" spans="1:7">
      <c r="A193" s="17" t="str">
        <f>IF(BasicInfo!$A192= "", "",BasicInfo!$A192)</f>
        <v/>
      </c>
      <c r="B193" s="4"/>
      <c r="C193" s="4"/>
      <c r="D193" s="4"/>
      <c r="E193" s="7" t="str">
        <f t="shared" si="6"/>
        <v/>
      </c>
      <c r="F193" s="8" t="str">
        <f t="shared" si="7"/>
        <v/>
      </c>
      <c r="G193" s="10" t="str">
        <f t="shared" si="8"/>
        <v>0</v>
      </c>
    </row>
    <row r="194" spans="1:7">
      <c r="A194" s="17" t="str">
        <f>IF(BasicInfo!$A193= "", "",BasicInfo!$A193)</f>
        <v/>
      </c>
      <c r="B194" s="4"/>
      <c r="C194" s="4"/>
      <c r="D194" s="4"/>
      <c r="E194" s="7" t="str">
        <f t="shared" si="6"/>
        <v/>
      </c>
      <c r="F194" s="8" t="str">
        <f t="shared" si="7"/>
        <v/>
      </c>
      <c r="G194" s="10" t="str">
        <f t="shared" si="8"/>
        <v>0</v>
      </c>
    </row>
    <row r="195" spans="1:7">
      <c r="A195" s="17" t="str">
        <f>IF(BasicInfo!$A194= "", "",BasicInfo!$A194)</f>
        <v/>
      </c>
      <c r="B195" s="4"/>
      <c r="C195" s="4"/>
      <c r="D195" s="4"/>
      <c r="E195" s="7" t="str">
        <f t="shared" si="6"/>
        <v/>
      </c>
      <c r="F195" s="8" t="str">
        <f t="shared" si="7"/>
        <v/>
      </c>
      <c r="G195" s="10" t="str">
        <f t="shared" si="8"/>
        <v>0</v>
      </c>
    </row>
    <row r="196" spans="1:7">
      <c r="A196" s="17" t="str">
        <f>IF(BasicInfo!$A195= "", "",BasicInfo!$A195)</f>
        <v/>
      </c>
      <c r="B196" s="4"/>
      <c r="C196" s="4"/>
      <c r="D196" s="4"/>
      <c r="E196" s="7" t="str">
        <f t="shared" si="6"/>
        <v/>
      </c>
      <c r="F196" s="8" t="str">
        <f t="shared" si="7"/>
        <v/>
      </c>
      <c r="G196" s="10" t="str">
        <f t="shared" si="8"/>
        <v>0</v>
      </c>
    </row>
    <row r="197" spans="1:7">
      <c r="A197" s="17" t="str">
        <f>IF(BasicInfo!$A196= "", "",BasicInfo!$A196)</f>
        <v/>
      </c>
      <c r="B197" s="4"/>
      <c r="C197" s="4"/>
      <c r="D197" s="4"/>
      <c r="E197" s="7" t="str">
        <f t="shared" ref="E197:E206" si="9">IF((B197+4*C197+D197)/6 =0,"",(B197+4*C197+D197)/6)</f>
        <v/>
      </c>
      <c r="F197" s="8" t="str">
        <f t="shared" ref="F197:F206" si="10">IF(E197&lt;&gt;"",((D197-B197)/6)/E197,"")</f>
        <v/>
      </c>
      <c r="G197" s="10" t="str">
        <f t="shared" ref="G197:G206" si="11">IF(E197="","0",E197)</f>
        <v>0</v>
      </c>
    </row>
    <row r="198" spans="1:7">
      <c r="A198" s="17" t="str">
        <f>IF(BasicInfo!$A197= "", "",BasicInfo!$A197)</f>
        <v/>
      </c>
      <c r="B198" s="4"/>
      <c r="C198" s="4"/>
      <c r="D198" s="4"/>
      <c r="E198" s="7" t="str">
        <f t="shared" si="9"/>
        <v/>
      </c>
      <c r="F198" s="8" t="str">
        <f t="shared" si="10"/>
        <v/>
      </c>
      <c r="G198" s="10" t="str">
        <f t="shared" si="11"/>
        <v>0</v>
      </c>
    </row>
    <row r="199" spans="1:7">
      <c r="A199" s="17" t="str">
        <f>IF(BasicInfo!$A198= "", "",BasicInfo!$A198)</f>
        <v/>
      </c>
      <c r="B199" s="4"/>
      <c r="C199" s="4"/>
      <c r="D199" s="4"/>
      <c r="E199" s="7" t="str">
        <f t="shared" si="9"/>
        <v/>
      </c>
      <c r="F199" s="8" t="str">
        <f t="shared" si="10"/>
        <v/>
      </c>
      <c r="G199" s="10" t="str">
        <f t="shared" si="11"/>
        <v>0</v>
      </c>
    </row>
    <row r="200" spans="1:7">
      <c r="A200" s="17" t="str">
        <f>IF(BasicInfo!$A199= "", "",BasicInfo!$A199)</f>
        <v/>
      </c>
      <c r="B200" s="4"/>
      <c r="C200" s="4"/>
      <c r="D200" s="4"/>
      <c r="E200" s="7" t="str">
        <f t="shared" si="9"/>
        <v/>
      </c>
      <c r="F200" s="8" t="str">
        <f t="shared" si="10"/>
        <v/>
      </c>
      <c r="G200" s="10" t="str">
        <f t="shared" si="11"/>
        <v>0</v>
      </c>
    </row>
    <row r="201" spans="1:7">
      <c r="A201" s="17" t="str">
        <f>IF(BasicInfo!$A200= "", "",BasicInfo!$A200)</f>
        <v/>
      </c>
      <c r="B201" s="4"/>
      <c r="C201" s="4"/>
      <c r="D201" s="4"/>
      <c r="E201" s="7" t="str">
        <f t="shared" si="9"/>
        <v/>
      </c>
      <c r="F201" s="8" t="str">
        <f t="shared" si="10"/>
        <v/>
      </c>
      <c r="G201" s="10" t="str">
        <f t="shared" si="11"/>
        <v>0</v>
      </c>
    </row>
    <row r="202" spans="1:7">
      <c r="A202" s="17" t="str">
        <f>IF(BasicInfo!$A201= "", "",BasicInfo!$A201)</f>
        <v/>
      </c>
      <c r="B202" s="4"/>
      <c r="C202" s="4"/>
      <c r="D202" s="4"/>
      <c r="E202" s="7" t="str">
        <f t="shared" si="9"/>
        <v/>
      </c>
      <c r="F202" s="8" t="str">
        <f t="shared" si="10"/>
        <v/>
      </c>
      <c r="G202" s="10" t="str">
        <f t="shared" si="11"/>
        <v>0</v>
      </c>
    </row>
    <row r="203" spans="1:7">
      <c r="A203" s="17" t="str">
        <f>IF(BasicInfo!$A202= "", "",BasicInfo!$A202)</f>
        <v/>
      </c>
      <c r="B203" s="4"/>
      <c r="C203" s="4"/>
      <c r="D203" s="4"/>
      <c r="E203" s="7" t="str">
        <f t="shared" si="9"/>
        <v/>
      </c>
      <c r="F203" s="8" t="str">
        <f t="shared" si="10"/>
        <v/>
      </c>
      <c r="G203" s="10" t="str">
        <f t="shared" si="11"/>
        <v>0</v>
      </c>
    </row>
    <row r="204" spans="1:7">
      <c r="A204" s="17" t="str">
        <f>IF(BasicInfo!$A203= "", "",BasicInfo!$A203)</f>
        <v/>
      </c>
      <c r="B204" s="4"/>
      <c r="C204" s="4"/>
      <c r="D204" s="4"/>
      <c r="E204" s="7" t="str">
        <f t="shared" si="9"/>
        <v/>
      </c>
      <c r="F204" s="8" t="str">
        <f t="shared" si="10"/>
        <v/>
      </c>
      <c r="G204" s="10" t="str">
        <f t="shared" si="11"/>
        <v>0</v>
      </c>
    </row>
    <row r="205" spans="1:7">
      <c r="A205" s="17" t="str">
        <f>IF(BasicInfo!$A204= "", "",BasicInfo!$A204)</f>
        <v/>
      </c>
      <c r="B205" s="4"/>
      <c r="C205" s="4"/>
      <c r="D205" s="4"/>
      <c r="E205" s="7" t="str">
        <f t="shared" si="9"/>
        <v/>
      </c>
      <c r="F205" s="8" t="str">
        <f t="shared" si="10"/>
        <v/>
      </c>
      <c r="G205" s="10" t="str">
        <f t="shared" si="11"/>
        <v>0</v>
      </c>
    </row>
    <row r="206" spans="1:7">
      <c r="A206" s="17" t="str">
        <f>IF(BasicInfo!$A205= "", "",BasicInfo!$A205)</f>
        <v/>
      </c>
      <c r="B206" s="4"/>
      <c r="C206" s="4"/>
      <c r="D206" s="4"/>
      <c r="E206" s="7" t="str">
        <f t="shared" si="9"/>
        <v/>
      </c>
      <c r="F206" s="8" t="str">
        <f t="shared" si="10"/>
        <v/>
      </c>
      <c r="G206" s="10" t="str">
        <f t="shared" si="11"/>
        <v>0</v>
      </c>
    </row>
  </sheetData>
  <mergeCells count="1">
    <mergeCell ref="A2:G2"/>
  </mergeCells>
  <phoneticPr fontId="1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216"/>
  <sheetViews>
    <sheetView showGridLines="0" workbookViewId="0">
      <selection activeCell="G9" sqref="G9"/>
    </sheetView>
  </sheetViews>
  <sheetFormatPr defaultColWidth="10.28515625" defaultRowHeight="14.25"/>
  <cols>
    <col min="1" max="1" width="2.42578125" style="23" customWidth="1"/>
    <col min="2" max="2" width="27.140625" style="23" customWidth="1"/>
    <col min="3" max="3" width="26.85546875" style="23" customWidth="1"/>
    <col min="4" max="4" width="24.85546875" style="24" customWidth="1"/>
    <col min="5" max="5" width="17.140625" style="24" customWidth="1"/>
    <col min="6" max="16384" width="10.28515625" style="23"/>
  </cols>
  <sheetData>
    <row r="1" spans="2:5">
      <c r="B1" s="52" t="s">
        <v>46</v>
      </c>
      <c r="C1" s="41" t="s">
        <v>80</v>
      </c>
    </row>
    <row r="2" spans="2:5">
      <c r="B2" s="144" t="s">
        <v>103</v>
      </c>
      <c r="C2" s="145"/>
      <c r="D2" s="145"/>
      <c r="E2" s="146"/>
    </row>
    <row r="3" spans="2:5">
      <c r="B3" s="71" t="s">
        <v>68</v>
      </c>
      <c r="C3" s="20">
        <v>15</v>
      </c>
      <c r="D3" s="71" t="s">
        <v>69</v>
      </c>
      <c r="E3" s="69" t="str">
        <f>IF(OR(C7="",C3=""),"",C7/C3)</f>
        <v/>
      </c>
    </row>
    <row r="4" spans="2:5">
      <c r="B4" s="71" t="s">
        <v>66</v>
      </c>
      <c r="C4" s="20"/>
      <c r="D4" s="71" t="s">
        <v>70</v>
      </c>
      <c r="E4" s="70" t="str">
        <f>IF(OR(E3="",C4=0),"",E3/C4)</f>
        <v/>
      </c>
    </row>
    <row r="5" spans="2:5">
      <c r="B5" s="147" t="s">
        <v>90</v>
      </c>
      <c r="C5" s="148"/>
      <c r="D5" s="148"/>
      <c r="E5" s="149"/>
    </row>
    <row r="6" spans="2:5">
      <c r="B6" s="71" t="s">
        <v>67</v>
      </c>
      <c r="C6" s="20">
        <v>25</v>
      </c>
      <c r="D6" s="71" t="s">
        <v>71</v>
      </c>
      <c r="E6" s="70" t="str">
        <f>IF(SUM(D14:D216)=0,"",SUM(D14:D216))</f>
        <v/>
      </c>
    </row>
    <row r="7" spans="2:5">
      <c r="B7" s="71" t="s">
        <v>49</v>
      </c>
      <c r="C7" s="69" t="str">
        <f>IF(SUM(C14:C216)=0,"",SUM(C14:C216))</f>
        <v/>
      </c>
      <c r="D7" s="71" t="s">
        <v>74</v>
      </c>
      <c r="E7" s="70" t="str">
        <f>IF(SUM(E14:E216)=0,"",SUM(E14:E216))</f>
        <v/>
      </c>
    </row>
    <row r="8" spans="2:5">
      <c r="B8" s="71" t="s">
        <v>50</v>
      </c>
      <c r="C8" s="20"/>
      <c r="D8" s="71" t="s">
        <v>73</v>
      </c>
      <c r="E8" s="70" t="str">
        <f>IF(OR(C8="",C9="",C10=""),"",C8/C9*C10)</f>
        <v/>
      </c>
    </row>
    <row r="9" spans="2:5">
      <c r="B9" s="71" t="s">
        <v>72</v>
      </c>
      <c r="C9" s="20">
        <v>30</v>
      </c>
      <c r="D9" s="71" t="s">
        <v>75</v>
      </c>
      <c r="E9" s="70" t="str">
        <f>IF(SUM(E7:E8)=0,"",SUM(E7:E8))</f>
        <v/>
      </c>
    </row>
    <row r="10" spans="2:5">
      <c r="B10" s="71" t="s">
        <v>52</v>
      </c>
      <c r="C10" s="53">
        <v>1.3</v>
      </c>
      <c r="D10" s="71" t="s">
        <v>51</v>
      </c>
      <c r="E10" s="69" t="str">
        <f>IF(SUM(C8,C7)=0,"",SUM(C8,C7))</f>
        <v/>
      </c>
    </row>
    <row r="11" spans="2:5">
      <c r="B11" s="71" t="s">
        <v>54</v>
      </c>
      <c r="C11" s="49"/>
      <c r="D11" s="71" t="s">
        <v>53</v>
      </c>
      <c r="E11" s="70" t="str">
        <f>IF(OR(C7="",C11=""),"",C7/C11)</f>
        <v/>
      </c>
    </row>
    <row r="12" spans="2:5">
      <c r="B12" s="24"/>
      <c r="C12" s="24"/>
    </row>
    <row r="13" spans="2:5" ht="24">
      <c r="B13" s="68" t="s">
        <v>20</v>
      </c>
      <c r="C13" s="68" t="s">
        <v>76</v>
      </c>
      <c r="D13" s="25" t="s">
        <v>77</v>
      </c>
      <c r="E13" s="25" t="s">
        <v>78</v>
      </c>
    </row>
    <row r="14" spans="2:5">
      <c r="B14" s="26" t="str">
        <f>Est!$A4</f>
        <v/>
      </c>
      <c r="C14" s="50" t="str">
        <f>IF($B14="","",Est!$G4)</f>
        <v/>
      </c>
      <c r="D14" s="54" t="str">
        <f>IF(AND(ISNUMBER(C14),ISNUMBER($C$6)),C14/$C$6,"")</f>
        <v/>
      </c>
      <c r="E14" s="54" t="str">
        <f>IF(AND(ISNUMBER(C14),ISNUMBER($C$9)),C14/$C$9*$C$10,"")</f>
        <v/>
      </c>
    </row>
    <row r="15" spans="2:5">
      <c r="B15" s="26" t="str">
        <f>Est!$A5</f>
        <v/>
      </c>
      <c r="C15" s="50" t="str">
        <f>IF($B15="","",Est!$G5)</f>
        <v/>
      </c>
      <c r="D15" s="54" t="str">
        <f t="shared" ref="D15:D78" si="0">IF(AND(ISNUMBER(C15),ISNUMBER($C$6)),C15/$C$6,"")</f>
        <v/>
      </c>
      <c r="E15" s="54" t="str">
        <f t="shared" ref="E15:E78" si="1">IF(AND(ISNUMBER(C15),ISNUMBER($C$9)),C15/$C$9*$C$10,"")</f>
        <v/>
      </c>
    </row>
    <row r="16" spans="2:5">
      <c r="B16" s="26" t="str">
        <f>Est!$A6</f>
        <v/>
      </c>
      <c r="C16" s="50" t="str">
        <f>IF($B16="","",Est!$G6)</f>
        <v/>
      </c>
      <c r="D16" s="54" t="str">
        <f t="shared" si="0"/>
        <v/>
      </c>
      <c r="E16" s="54" t="str">
        <f t="shared" si="1"/>
        <v/>
      </c>
    </row>
    <row r="17" spans="2:5">
      <c r="B17" s="26" t="str">
        <f>Est!$A7</f>
        <v/>
      </c>
      <c r="C17" s="50" t="str">
        <f>IF($B17="","",Est!$G7)</f>
        <v/>
      </c>
      <c r="D17" s="54" t="str">
        <f t="shared" si="0"/>
        <v/>
      </c>
      <c r="E17" s="54" t="str">
        <f t="shared" si="1"/>
        <v/>
      </c>
    </row>
    <row r="18" spans="2:5">
      <c r="B18" s="26" t="str">
        <f>Est!$A8</f>
        <v/>
      </c>
      <c r="C18" s="50" t="str">
        <f>IF($B18="","",Est!$G8)</f>
        <v/>
      </c>
      <c r="D18" s="54" t="str">
        <f t="shared" si="0"/>
        <v/>
      </c>
      <c r="E18" s="54" t="str">
        <f t="shared" si="1"/>
        <v/>
      </c>
    </row>
    <row r="19" spans="2:5">
      <c r="B19" s="26" t="str">
        <f>Est!$A9</f>
        <v/>
      </c>
      <c r="C19" s="50" t="str">
        <f>IF($B19="","",Est!$G9)</f>
        <v/>
      </c>
      <c r="D19" s="54" t="str">
        <f t="shared" si="0"/>
        <v/>
      </c>
      <c r="E19" s="54" t="str">
        <f t="shared" si="1"/>
        <v/>
      </c>
    </row>
    <row r="20" spans="2:5">
      <c r="B20" s="26" t="str">
        <f>Est!$A10</f>
        <v/>
      </c>
      <c r="C20" s="50" t="str">
        <f>IF($B20="","",Est!$G10)</f>
        <v/>
      </c>
      <c r="D20" s="54" t="str">
        <f t="shared" si="0"/>
        <v/>
      </c>
      <c r="E20" s="54" t="str">
        <f t="shared" si="1"/>
        <v/>
      </c>
    </row>
    <row r="21" spans="2:5">
      <c r="B21" s="26" t="str">
        <f>Est!$A11</f>
        <v/>
      </c>
      <c r="C21" s="50" t="str">
        <f>IF($B21="","",Est!$G11)</f>
        <v/>
      </c>
      <c r="D21" s="54" t="str">
        <f t="shared" si="0"/>
        <v/>
      </c>
      <c r="E21" s="54" t="str">
        <f t="shared" si="1"/>
        <v/>
      </c>
    </row>
    <row r="22" spans="2:5">
      <c r="B22" s="26" t="str">
        <f>Est!$A12</f>
        <v/>
      </c>
      <c r="C22" s="50" t="str">
        <f>IF($B22="","",Est!$G12)</f>
        <v/>
      </c>
      <c r="D22" s="54" t="str">
        <f t="shared" si="0"/>
        <v/>
      </c>
      <c r="E22" s="54" t="str">
        <f t="shared" si="1"/>
        <v/>
      </c>
    </row>
    <row r="23" spans="2:5">
      <c r="B23" s="26" t="str">
        <f>Est!$A13</f>
        <v/>
      </c>
      <c r="C23" s="50" t="str">
        <f>IF($B23="","",Est!$G13)</f>
        <v/>
      </c>
      <c r="D23" s="54" t="str">
        <f t="shared" si="0"/>
        <v/>
      </c>
      <c r="E23" s="54" t="str">
        <f t="shared" si="1"/>
        <v/>
      </c>
    </row>
    <row r="24" spans="2:5">
      <c r="B24" s="26" t="str">
        <f>Est!$A14</f>
        <v/>
      </c>
      <c r="C24" s="50" t="str">
        <f>IF($B24="","",Est!$G14)</f>
        <v/>
      </c>
      <c r="D24" s="54" t="str">
        <f t="shared" si="0"/>
        <v/>
      </c>
      <c r="E24" s="54" t="str">
        <f t="shared" si="1"/>
        <v/>
      </c>
    </row>
    <row r="25" spans="2:5">
      <c r="B25" s="26" t="str">
        <f>Est!$A15</f>
        <v/>
      </c>
      <c r="C25" s="50" t="str">
        <f>IF($B25="","",Est!$G15)</f>
        <v/>
      </c>
      <c r="D25" s="54" t="str">
        <f t="shared" si="0"/>
        <v/>
      </c>
      <c r="E25" s="54" t="str">
        <f t="shared" si="1"/>
        <v/>
      </c>
    </row>
    <row r="26" spans="2:5">
      <c r="B26" s="26" t="str">
        <f>Est!$A16</f>
        <v/>
      </c>
      <c r="C26" s="50" t="str">
        <f>IF($B26="","",Est!$G16)</f>
        <v/>
      </c>
      <c r="D26" s="54" t="str">
        <f t="shared" si="0"/>
        <v/>
      </c>
      <c r="E26" s="54" t="str">
        <f t="shared" si="1"/>
        <v/>
      </c>
    </row>
    <row r="27" spans="2:5">
      <c r="B27" s="26" t="str">
        <f>Est!$A17</f>
        <v/>
      </c>
      <c r="C27" s="50" t="str">
        <f>IF($B27="","",Est!$G17)</f>
        <v/>
      </c>
      <c r="D27" s="54" t="str">
        <f t="shared" si="0"/>
        <v/>
      </c>
      <c r="E27" s="54" t="str">
        <f t="shared" si="1"/>
        <v/>
      </c>
    </row>
    <row r="28" spans="2:5">
      <c r="B28" s="26" t="str">
        <f>Est!$A18</f>
        <v/>
      </c>
      <c r="C28" s="50" t="str">
        <f>IF($B28="","",Est!$G18)</f>
        <v/>
      </c>
      <c r="D28" s="54" t="str">
        <f t="shared" si="0"/>
        <v/>
      </c>
      <c r="E28" s="54" t="str">
        <f t="shared" si="1"/>
        <v/>
      </c>
    </row>
    <row r="29" spans="2:5">
      <c r="B29" s="26" t="str">
        <f>Est!$A19</f>
        <v/>
      </c>
      <c r="C29" s="50" t="str">
        <f>IF($B29="","",Est!$G19)</f>
        <v/>
      </c>
      <c r="D29" s="54" t="str">
        <f t="shared" si="0"/>
        <v/>
      </c>
      <c r="E29" s="54" t="str">
        <f t="shared" si="1"/>
        <v/>
      </c>
    </row>
    <row r="30" spans="2:5">
      <c r="B30" s="26" t="str">
        <f>Est!$A20</f>
        <v/>
      </c>
      <c r="C30" s="50" t="str">
        <f>IF($B30="","",Est!$G20)</f>
        <v/>
      </c>
      <c r="D30" s="54" t="str">
        <f t="shared" si="0"/>
        <v/>
      </c>
      <c r="E30" s="54" t="str">
        <f t="shared" si="1"/>
        <v/>
      </c>
    </row>
    <row r="31" spans="2:5">
      <c r="B31" s="26" t="str">
        <f>Est!$A21</f>
        <v/>
      </c>
      <c r="C31" s="50" t="str">
        <f>IF($B31="","",Est!$G21)</f>
        <v/>
      </c>
      <c r="D31" s="54" t="str">
        <f t="shared" si="0"/>
        <v/>
      </c>
      <c r="E31" s="54" t="str">
        <f t="shared" si="1"/>
        <v/>
      </c>
    </row>
    <row r="32" spans="2:5">
      <c r="B32" s="26" t="str">
        <f>Est!$A22</f>
        <v/>
      </c>
      <c r="C32" s="50" t="str">
        <f>IF($B32="","",Est!$G22)</f>
        <v/>
      </c>
      <c r="D32" s="54" t="str">
        <f t="shared" si="0"/>
        <v/>
      </c>
      <c r="E32" s="54" t="str">
        <f t="shared" si="1"/>
        <v/>
      </c>
    </row>
    <row r="33" spans="2:5">
      <c r="B33" s="26" t="str">
        <f>Est!$A23</f>
        <v/>
      </c>
      <c r="C33" s="50" t="str">
        <f>IF($B33="","",Est!$G23)</f>
        <v/>
      </c>
      <c r="D33" s="54" t="str">
        <f t="shared" si="0"/>
        <v/>
      </c>
      <c r="E33" s="54" t="str">
        <f t="shared" si="1"/>
        <v/>
      </c>
    </row>
    <row r="34" spans="2:5">
      <c r="B34" s="26" t="str">
        <f>Est!$A24</f>
        <v/>
      </c>
      <c r="C34" s="50" t="str">
        <f>IF($B34="","",Est!$G24)</f>
        <v/>
      </c>
      <c r="D34" s="54" t="str">
        <f t="shared" si="0"/>
        <v/>
      </c>
      <c r="E34" s="54" t="str">
        <f t="shared" si="1"/>
        <v/>
      </c>
    </row>
    <row r="35" spans="2:5">
      <c r="B35" s="26" t="str">
        <f>Est!$A25</f>
        <v/>
      </c>
      <c r="C35" s="50" t="str">
        <f>IF($B35="","",Est!$G25)</f>
        <v/>
      </c>
      <c r="D35" s="54" t="str">
        <f t="shared" si="0"/>
        <v/>
      </c>
      <c r="E35" s="54" t="str">
        <f t="shared" si="1"/>
        <v/>
      </c>
    </row>
    <row r="36" spans="2:5">
      <c r="B36" s="26" t="str">
        <f>Est!$A26</f>
        <v/>
      </c>
      <c r="C36" s="50" t="str">
        <f>IF($B36="","",Est!$G26)</f>
        <v/>
      </c>
      <c r="D36" s="54" t="str">
        <f t="shared" si="0"/>
        <v/>
      </c>
      <c r="E36" s="54" t="str">
        <f t="shared" si="1"/>
        <v/>
      </c>
    </row>
    <row r="37" spans="2:5">
      <c r="B37" s="26" t="str">
        <f>Est!$A27</f>
        <v/>
      </c>
      <c r="C37" s="50" t="str">
        <f>IF($B37="","",Est!$G27)</f>
        <v/>
      </c>
      <c r="D37" s="54" t="str">
        <f t="shared" si="0"/>
        <v/>
      </c>
      <c r="E37" s="54" t="str">
        <f t="shared" si="1"/>
        <v/>
      </c>
    </row>
    <row r="38" spans="2:5">
      <c r="B38" s="26" t="str">
        <f>Est!$A28</f>
        <v/>
      </c>
      <c r="C38" s="50" t="str">
        <f>IF($B38="","",Est!$G28)</f>
        <v/>
      </c>
      <c r="D38" s="54" t="str">
        <f t="shared" si="0"/>
        <v/>
      </c>
      <c r="E38" s="54" t="str">
        <f t="shared" si="1"/>
        <v/>
      </c>
    </row>
    <row r="39" spans="2:5">
      <c r="B39" s="26" t="str">
        <f>Est!$A29</f>
        <v/>
      </c>
      <c r="C39" s="50" t="str">
        <f>IF($B39="","",Est!$G29)</f>
        <v/>
      </c>
      <c r="D39" s="54" t="str">
        <f t="shared" si="0"/>
        <v/>
      </c>
      <c r="E39" s="54" t="str">
        <f t="shared" si="1"/>
        <v/>
      </c>
    </row>
    <row r="40" spans="2:5">
      <c r="B40" s="26" t="str">
        <f>Est!$A30</f>
        <v/>
      </c>
      <c r="C40" s="50" t="str">
        <f>IF($B40="","",Est!$G30)</f>
        <v/>
      </c>
      <c r="D40" s="54" t="str">
        <f t="shared" si="0"/>
        <v/>
      </c>
      <c r="E40" s="54" t="str">
        <f t="shared" si="1"/>
        <v/>
      </c>
    </row>
    <row r="41" spans="2:5">
      <c r="B41" s="26" t="str">
        <f>Est!$A31</f>
        <v/>
      </c>
      <c r="C41" s="50" t="str">
        <f>IF($B41="","",Est!$G31)</f>
        <v/>
      </c>
      <c r="D41" s="54" t="str">
        <f t="shared" si="0"/>
        <v/>
      </c>
      <c r="E41" s="54" t="str">
        <f t="shared" si="1"/>
        <v/>
      </c>
    </row>
    <row r="42" spans="2:5">
      <c r="B42" s="26" t="str">
        <f>Est!$A32</f>
        <v/>
      </c>
      <c r="C42" s="50" t="str">
        <f>IF($B42="","",Est!$G32)</f>
        <v/>
      </c>
      <c r="D42" s="54" t="str">
        <f t="shared" si="0"/>
        <v/>
      </c>
      <c r="E42" s="54" t="str">
        <f t="shared" si="1"/>
        <v/>
      </c>
    </row>
    <row r="43" spans="2:5">
      <c r="B43" s="26" t="str">
        <f>Est!$A33</f>
        <v/>
      </c>
      <c r="C43" s="50" t="str">
        <f>IF($B43="","",Est!$G33)</f>
        <v/>
      </c>
      <c r="D43" s="54" t="str">
        <f t="shared" si="0"/>
        <v/>
      </c>
      <c r="E43" s="54" t="str">
        <f t="shared" si="1"/>
        <v/>
      </c>
    </row>
    <row r="44" spans="2:5">
      <c r="B44" s="26" t="str">
        <f>Est!$A34</f>
        <v/>
      </c>
      <c r="C44" s="50" t="str">
        <f>IF($B44="","",Est!$G34)</f>
        <v/>
      </c>
      <c r="D44" s="54" t="str">
        <f t="shared" si="0"/>
        <v/>
      </c>
      <c r="E44" s="54" t="str">
        <f t="shared" si="1"/>
        <v/>
      </c>
    </row>
    <row r="45" spans="2:5">
      <c r="B45" s="26" t="str">
        <f>Est!$A35</f>
        <v/>
      </c>
      <c r="C45" s="50" t="str">
        <f>IF($B45="","",Est!$G35)</f>
        <v/>
      </c>
      <c r="D45" s="54" t="str">
        <f t="shared" si="0"/>
        <v/>
      </c>
      <c r="E45" s="54" t="str">
        <f t="shared" si="1"/>
        <v/>
      </c>
    </row>
    <row r="46" spans="2:5">
      <c r="B46" s="26" t="str">
        <f>Est!$A36</f>
        <v/>
      </c>
      <c r="C46" s="50" t="str">
        <f>IF($B46="","",Est!$G36)</f>
        <v/>
      </c>
      <c r="D46" s="54" t="str">
        <f t="shared" si="0"/>
        <v/>
      </c>
      <c r="E46" s="54" t="str">
        <f t="shared" si="1"/>
        <v/>
      </c>
    </row>
    <row r="47" spans="2:5">
      <c r="B47" s="26" t="str">
        <f>Est!$A37</f>
        <v/>
      </c>
      <c r="C47" s="50" t="str">
        <f>IF($B47="","",Est!$G37)</f>
        <v/>
      </c>
      <c r="D47" s="54" t="str">
        <f t="shared" si="0"/>
        <v/>
      </c>
      <c r="E47" s="54" t="str">
        <f t="shared" si="1"/>
        <v/>
      </c>
    </row>
    <row r="48" spans="2:5">
      <c r="B48" s="26" t="str">
        <f>Est!$A38</f>
        <v/>
      </c>
      <c r="C48" s="50" t="str">
        <f>IF($B48="","",Est!$G38)</f>
        <v/>
      </c>
      <c r="D48" s="54" t="str">
        <f t="shared" si="0"/>
        <v/>
      </c>
      <c r="E48" s="54" t="str">
        <f t="shared" si="1"/>
        <v/>
      </c>
    </row>
    <row r="49" spans="2:5">
      <c r="B49" s="26" t="str">
        <f>Est!$A39</f>
        <v/>
      </c>
      <c r="C49" s="50" t="str">
        <f>IF($B49="","",Est!$G39)</f>
        <v/>
      </c>
      <c r="D49" s="54" t="str">
        <f t="shared" si="0"/>
        <v/>
      </c>
      <c r="E49" s="54" t="str">
        <f t="shared" si="1"/>
        <v/>
      </c>
    </row>
    <row r="50" spans="2:5">
      <c r="B50" s="26" t="str">
        <f>Est!$A40</f>
        <v/>
      </c>
      <c r="C50" s="50" t="str">
        <f>IF($B50="","",Est!$G40)</f>
        <v/>
      </c>
      <c r="D50" s="54" t="str">
        <f t="shared" si="0"/>
        <v/>
      </c>
      <c r="E50" s="54" t="str">
        <f t="shared" si="1"/>
        <v/>
      </c>
    </row>
    <row r="51" spans="2:5">
      <c r="B51" s="26" t="str">
        <f>Est!$A41</f>
        <v/>
      </c>
      <c r="C51" s="50" t="str">
        <f>IF($B51="","",Est!$G41)</f>
        <v/>
      </c>
      <c r="D51" s="54" t="str">
        <f t="shared" si="0"/>
        <v/>
      </c>
      <c r="E51" s="54" t="str">
        <f t="shared" si="1"/>
        <v/>
      </c>
    </row>
    <row r="52" spans="2:5">
      <c r="B52" s="26" t="str">
        <f>Est!$A42</f>
        <v/>
      </c>
      <c r="C52" s="50" t="str">
        <f>IF($B52="","",Est!$G42)</f>
        <v/>
      </c>
      <c r="D52" s="54" t="str">
        <f t="shared" si="0"/>
        <v/>
      </c>
      <c r="E52" s="54" t="str">
        <f t="shared" si="1"/>
        <v/>
      </c>
    </row>
    <row r="53" spans="2:5">
      <c r="B53" s="26" t="str">
        <f>Est!$A43</f>
        <v/>
      </c>
      <c r="C53" s="50" t="str">
        <f>IF($B53="","",Est!$G43)</f>
        <v/>
      </c>
      <c r="D53" s="54" t="str">
        <f t="shared" si="0"/>
        <v/>
      </c>
      <c r="E53" s="54" t="str">
        <f t="shared" si="1"/>
        <v/>
      </c>
    </row>
    <row r="54" spans="2:5">
      <c r="B54" s="26" t="str">
        <f>Est!$A44</f>
        <v/>
      </c>
      <c r="C54" s="50" t="str">
        <f>IF($B54="","",Est!$G44)</f>
        <v/>
      </c>
      <c r="D54" s="54" t="str">
        <f t="shared" si="0"/>
        <v/>
      </c>
      <c r="E54" s="54" t="str">
        <f t="shared" si="1"/>
        <v/>
      </c>
    </row>
    <row r="55" spans="2:5">
      <c r="B55" s="26" t="str">
        <f>Est!$A45</f>
        <v/>
      </c>
      <c r="C55" s="50" t="str">
        <f>IF($B55="","",Est!$G45)</f>
        <v/>
      </c>
      <c r="D55" s="54" t="str">
        <f t="shared" si="0"/>
        <v/>
      </c>
      <c r="E55" s="54" t="str">
        <f t="shared" si="1"/>
        <v/>
      </c>
    </row>
    <row r="56" spans="2:5">
      <c r="B56" s="26" t="str">
        <f>Est!$A46</f>
        <v/>
      </c>
      <c r="C56" s="50" t="str">
        <f>IF($B56="","",Est!$G46)</f>
        <v/>
      </c>
      <c r="D56" s="54" t="str">
        <f t="shared" si="0"/>
        <v/>
      </c>
      <c r="E56" s="54" t="str">
        <f t="shared" si="1"/>
        <v/>
      </c>
    </row>
    <row r="57" spans="2:5">
      <c r="B57" s="26" t="str">
        <f>Est!$A47</f>
        <v/>
      </c>
      <c r="C57" s="50" t="str">
        <f>IF($B57="","",Est!$G47)</f>
        <v/>
      </c>
      <c r="D57" s="54" t="str">
        <f t="shared" si="0"/>
        <v/>
      </c>
      <c r="E57" s="54" t="str">
        <f t="shared" si="1"/>
        <v/>
      </c>
    </row>
    <row r="58" spans="2:5">
      <c r="B58" s="26" t="str">
        <f>Est!$A48</f>
        <v/>
      </c>
      <c r="C58" s="50" t="str">
        <f>IF($B58="","",Est!$G48)</f>
        <v/>
      </c>
      <c r="D58" s="54" t="str">
        <f t="shared" si="0"/>
        <v/>
      </c>
      <c r="E58" s="54" t="str">
        <f t="shared" si="1"/>
        <v/>
      </c>
    </row>
    <row r="59" spans="2:5">
      <c r="B59" s="26" t="str">
        <f>Est!$A49</f>
        <v/>
      </c>
      <c r="C59" s="50" t="str">
        <f>IF($B59="","",Est!$G49)</f>
        <v/>
      </c>
      <c r="D59" s="54" t="str">
        <f t="shared" si="0"/>
        <v/>
      </c>
      <c r="E59" s="54" t="str">
        <f t="shared" si="1"/>
        <v/>
      </c>
    </row>
    <row r="60" spans="2:5">
      <c r="B60" s="26" t="str">
        <f>Est!$A50</f>
        <v/>
      </c>
      <c r="C60" s="50" t="str">
        <f>IF($B60="","",Est!$G50)</f>
        <v/>
      </c>
      <c r="D60" s="54" t="str">
        <f t="shared" si="0"/>
        <v/>
      </c>
      <c r="E60" s="54" t="str">
        <f t="shared" si="1"/>
        <v/>
      </c>
    </row>
    <row r="61" spans="2:5">
      <c r="B61" s="26" t="str">
        <f>Est!$A51</f>
        <v/>
      </c>
      <c r="C61" s="50" t="str">
        <f>IF($B61="","",Est!$G51)</f>
        <v/>
      </c>
      <c r="D61" s="54" t="str">
        <f t="shared" si="0"/>
        <v/>
      </c>
      <c r="E61" s="54" t="str">
        <f t="shared" si="1"/>
        <v/>
      </c>
    </row>
    <row r="62" spans="2:5">
      <c r="B62" s="26" t="str">
        <f>Est!$A52</f>
        <v/>
      </c>
      <c r="C62" s="50" t="str">
        <f>IF($B62="","",Est!$G52)</f>
        <v/>
      </c>
      <c r="D62" s="54" t="str">
        <f t="shared" si="0"/>
        <v/>
      </c>
      <c r="E62" s="54" t="str">
        <f t="shared" si="1"/>
        <v/>
      </c>
    </row>
    <row r="63" spans="2:5">
      <c r="B63" s="26" t="str">
        <f>Est!$A53</f>
        <v/>
      </c>
      <c r="C63" s="50" t="str">
        <f>IF($B63="","",Est!$G53)</f>
        <v/>
      </c>
      <c r="D63" s="54" t="str">
        <f t="shared" si="0"/>
        <v/>
      </c>
      <c r="E63" s="54" t="str">
        <f t="shared" si="1"/>
        <v/>
      </c>
    </row>
    <row r="64" spans="2:5">
      <c r="B64" s="26" t="str">
        <f>Est!$A54</f>
        <v/>
      </c>
      <c r="C64" s="50" t="str">
        <f>IF($B64="","",Est!$G54)</f>
        <v/>
      </c>
      <c r="D64" s="54" t="str">
        <f t="shared" si="0"/>
        <v/>
      </c>
      <c r="E64" s="54" t="str">
        <f t="shared" si="1"/>
        <v/>
      </c>
    </row>
    <row r="65" spans="2:5">
      <c r="B65" s="26" t="str">
        <f>Est!$A55</f>
        <v/>
      </c>
      <c r="C65" s="50" t="str">
        <f>IF($B65="","",Est!$G55)</f>
        <v/>
      </c>
      <c r="D65" s="54" t="str">
        <f t="shared" si="0"/>
        <v/>
      </c>
      <c r="E65" s="54" t="str">
        <f t="shared" si="1"/>
        <v/>
      </c>
    </row>
    <row r="66" spans="2:5">
      <c r="B66" s="26" t="str">
        <f>Est!$A56</f>
        <v/>
      </c>
      <c r="C66" s="50" t="str">
        <f>IF($B66="","",Est!$G56)</f>
        <v/>
      </c>
      <c r="D66" s="54" t="str">
        <f t="shared" si="0"/>
        <v/>
      </c>
      <c r="E66" s="54" t="str">
        <f t="shared" si="1"/>
        <v/>
      </c>
    </row>
    <row r="67" spans="2:5">
      <c r="B67" s="26" t="str">
        <f>Est!$A57</f>
        <v/>
      </c>
      <c r="C67" s="50" t="str">
        <f>IF($B67="","",Est!$G57)</f>
        <v/>
      </c>
      <c r="D67" s="54" t="str">
        <f t="shared" si="0"/>
        <v/>
      </c>
      <c r="E67" s="54" t="str">
        <f t="shared" si="1"/>
        <v/>
      </c>
    </row>
    <row r="68" spans="2:5">
      <c r="B68" s="26" t="str">
        <f>Est!$A58</f>
        <v/>
      </c>
      <c r="C68" s="50" t="str">
        <f>IF($B68="","",Est!$G58)</f>
        <v/>
      </c>
      <c r="D68" s="54" t="str">
        <f t="shared" si="0"/>
        <v/>
      </c>
      <c r="E68" s="54" t="str">
        <f t="shared" si="1"/>
        <v/>
      </c>
    </row>
    <row r="69" spans="2:5">
      <c r="B69" s="26" t="str">
        <f>Est!$A59</f>
        <v/>
      </c>
      <c r="C69" s="50" t="str">
        <f>IF($B69="","",Est!$G59)</f>
        <v/>
      </c>
      <c r="D69" s="54" t="str">
        <f t="shared" si="0"/>
        <v/>
      </c>
      <c r="E69" s="54" t="str">
        <f t="shared" si="1"/>
        <v/>
      </c>
    </row>
    <row r="70" spans="2:5">
      <c r="B70" s="26" t="str">
        <f>Est!$A60</f>
        <v/>
      </c>
      <c r="C70" s="50" t="str">
        <f>IF($B70="","",Est!$G60)</f>
        <v/>
      </c>
      <c r="D70" s="54" t="str">
        <f t="shared" si="0"/>
        <v/>
      </c>
      <c r="E70" s="54" t="str">
        <f t="shared" si="1"/>
        <v/>
      </c>
    </row>
    <row r="71" spans="2:5">
      <c r="B71" s="26" t="str">
        <f>Est!$A61</f>
        <v/>
      </c>
      <c r="C71" s="50" t="str">
        <f>IF($B71="","",Est!$G61)</f>
        <v/>
      </c>
      <c r="D71" s="54" t="str">
        <f t="shared" si="0"/>
        <v/>
      </c>
      <c r="E71" s="54" t="str">
        <f t="shared" si="1"/>
        <v/>
      </c>
    </row>
    <row r="72" spans="2:5">
      <c r="B72" s="26" t="str">
        <f>Est!$A62</f>
        <v/>
      </c>
      <c r="C72" s="50" t="str">
        <f>IF($B72="","",Est!$G62)</f>
        <v/>
      </c>
      <c r="D72" s="54" t="str">
        <f t="shared" si="0"/>
        <v/>
      </c>
      <c r="E72" s="54" t="str">
        <f t="shared" si="1"/>
        <v/>
      </c>
    </row>
    <row r="73" spans="2:5">
      <c r="B73" s="26" t="str">
        <f>Est!$A63</f>
        <v/>
      </c>
      <c r="C73" s="50" t="str">
        <f>IF($B73="","",Est!$G63)</f>
        <v/>
      </c>
      <c r="D73" s="54" t="str">
        <f t="shared" si="0"/>
        <v/>
      </c>
      <c r="E73" s="54" t="str">
        <f t="shared" si="1"/>
        <v/>
      </c>
    </row>
    <row r="74" spans="2:5">
      <c r="B74" s="26" t="str">
        <f>Est!$A64</f>
        <v/>
      </c>
      <c r="C74" s="50" t="str">
        <f>IF($B74="","",Est!$G64)</f>
        <v/>
      </c>
      <c r="D74" s="54" t="str">
        <f t="shared" si="0"/>
        <v/>
      </c>
      <c r="E74" s="54" t="str">
        <f t="shared" si="1"/>
        <v/>
      </c>
    </row>
    <row r="75" spans="2:5">
      <c r="B75" s="26" t="str">
        <f>Est!$A65</f>
        <v/>
      </c>
      <c r="C75" s="50" t="str">
        <f>IF($B75="","",Est!$G65)</f>
        <v/>
      </c>
      <c r="D75" s="54" t="str">
        <f t="shared" si="0"/>
        <v/>
      </c>
      <c r="E75" s="54" t="str">
        <f t="shared" si="1"/>
        <v/>
      </c>
    </row>
    <row r="76" spans="2:5">
      <c r="B76" s="26" t="str">
        <f>Est!$A66</f>
        <v/>
      </c>
      <c r="C76" s="50" t="str">
        <f>IF($B76="","",Est!$G66)</f>
        <v/>
      </c>
      <c r="D76" s="54" t="str">
        <f t="shared" si="0"/>
        <v/>
      </c>
      <c r="E76" s="54" t="str">
        <f t="shared" si="1"/>
        <v/>
      </c>
    </row>
    <row r="77" spans="2:5">
      <c r="B77" s="26" t="str">
        <f>Est!$A67</f>
        <v/>
      </c>
      <c r="C77" s="50" t="str">
        <f>IF($B77="","",Est!$G67)</f>
        <v/>
      </c>
      <c r="D77" s="54" t="str">
        <f t="shared" si="0"/>
        <v/>
      </c>
      <c r="E77" s="54" t="str">
        <f t="shared" si="1"/>
        <v/>
      </c>
    </row>
    <row r="78" spans="2:5">
      <c r="B78" s="26" t="str">
        <f>Est!$A68</f>
        <v/>
      </c>
      <c r="C78" s="50" t="str">
        <f>IF($B78="","",Est!$G68)</f>
        <v/>
      </c>
      <c r="D78" s="54" t="str">
        <f t="shared" si="0"/>
        <v/>
      </c>
      <c r="E78" s="54" t="str">
        <f t="shared" si="1"/>
        <v/>
      </c>
    </row>
    <row r="79" spans="2:5">
      <c r="B79" s="26" t="str">
        <f>Est!$A69</f>
        <v/>
      </c>
      <c r="C79" s="50" t="str">
        <f>IF($B79="","",Est!$G69)</f>
        <v/>
      </c>
      <c r="D79" s="54" t="str">
        <f t="shared" ref="D79:D142" si="2">IF(AND(ISNUMBER(C79),ISNUMBER($C$6)),C79/$C$6,"")</f>
        <v/>
      </c>
      <c r="E79" s="54" t="str">
        <f t="shared" ref="E79:E142" si="3">IF(AND(ISNUMBER(C79),ISNUMBER($C$9)),C79/$C$9*$C$10,"")</f>
        <v/>
      </c>
    </row>
    <row r="80" spans="2:5">
      <c r="B80" s="26" t="str">
        <f>Est!$A70</f>
        <v/>
      </c>
      <c r="C80" s="50" t="str">
        <f>IF($B80="","",Est!$G70)</f>
        <v/>
      </c>
      <c r="D80" s="54" t="str">
        <f t="shared" si="2"/>
        <v/>
      </c>
      <c r="E80" s="54" t="str">
        <f t="shared" si="3"/>
        <v/>
      </c>
    </row>
    <row r="81" spans="2:5">
      <c r="B81" s="26" t="str">
        <f>Est!$A71</f>
        <v/>
      </c>
      <c r="C81" s="50" t="str">
        <f>IF($B81="","",Est!$G71)</f>
        <v/>
      </c>
      <c r="D81" s="54" t="str">
        <f t="shared" si="2"/>
        <v/>
      </c>
      <c r="E81" s="54" t="str">
        <f t="shared" si="3"/>
        <v/>
      </c>
    </row>
    <row r="82" spans="2:5">
      <c r="B82" s="26" t="str">
        <f>Est!$A72</f>
        <v/>
      </c>
      <c r="C82" s="50" t="str">
        <f>IF($B82="","",Est!$G72)</f>
        <v/>
      </c>
      <c r="D82" s="54" t="str">
        <f t="shared" si="2"/>
        <v/>
      </c>
      <c r="E82" s="54" t="str">
        <f t="shared" si="3"/>
        <v/>
      </c>
    </row>
    <row r="83" spans="2:5">
      <c r="B83" s="26" t="str">
        <f>Est!$A73</f>
        <v/>
      </c>
      <c r="C83" s="50" t="str">
        <f>IF($B83="","",Est!$G73)</f>
        <v/>
      </c>
      <c r="D83" s="54" t="str">
        <f t="shared" si="2"/>
        <v/>
      </c>
      <c r="E83" s="54" t="str">
        <f t="shared" si="3"/>
        <v/>
      </c>
    </row>
    <row r="84" spans="2:5">
      <c r="B84" s="26" t="str">
        <f>Est!$A74</f>
        <v/>
      </c>
      <c r="C84" s="50" t="str">
        <f>IF($B84="","",Est!$G74)</f>
        <v/>
      </c>
      <c r="D84" s="54" t="str">
        <f t="shared" si="2"/>
        <v/>
      </c>
      <c r="E84" s="54" t="str">
        <f t="shared" si="3"/>
        <v/>
      </c>
    </row>
    <row r="85" spans="2:5">
      <c r="B85" s="26" t="str">
        <f>Est!$A75</f>
        <v/>
      </c>
      <c r="C85" s="50" t="str">
        <f>IF($B85="","",Est!$G75)</f>
        <v/>
      </c>
      <c r="D85" s="54" t="str">
        <f t="shared" si="2"/>
        <v/>
      </c>
      <c r="E85" s="54" t="str">
        <f t="shared" si="3"/>
        <v/>
      </c>
    </row>
    <row r="86" spans="2:5">
      <c r="B86" s="26" t="str">
        <f>Est!$A76</f>
        <v/>
      </c>
      <c r="C86" s="50" t="str">
        <f>IF($B86="","",Est!$G76)</f>
        <v/>
      </c>
      <c r="D86" s="54" t="str">
        <f t="shared" si="2"/>
        <v/>
      </c>
      <c r="E86" s="54" t="str">
        <f t="shared" si="3"/>
        <v/>
      </c>
    </row>
    <row r="87" spans="2:5">
      <c r="B87" s="26" t="str">
        <f>Est!$A77</f>
        <v/>
      </c>
      <c r="C87" s="50" t="str">
        <f>IF($B87="","",Est!$G77)</f>
        <v/>
      </c>
      <c r="D87" s="54" t="str">
        <f t="shared" si="2"/>
        <v/>
      </c>
      <c r="E87" s="54" t="str">
        <f t="shared" si="3"/>
        <v/>
      </c>
    </row>
    <row r="88" spans="2:5">
      <c r="B88" s="26" t="str">
        <f>Est!$A78</f>
        <v/>
      </c>
      <c r="C88" s="50" t="str">
        <f>IF($B88="","",Est!$G78)</f>
        <v/>
      </c>
      <c r="D88" s="54" t="str">
        <f t="shared" si="2"/>
        <v/>
      </c>
      <c r="E88" s="54" t="str">
        <f t="shared" si="3"/>
        <v/>
      </c>
    </row>
    <row r="89" spans="2:5">
      <c r="B89" s="26" t="str">
        <f>Est!$A79</f>
        <v/>
      </c>
      <c r="C89" s="50" t="str">
        <f>IF($B89="","",Est!$G79)</f>
        <v/>
      </c>
      <c r="D89" s="54" t="str">
        <f t="shared" si="2"/>
        <v/>
      </c>
      <c r="E89" s="54" t="str">
        <f t="shared" si="3"/>
        <v/>
      </c>
    </row>
    <row r="90" spans="2:5">
      <c r="B90" s="26" t="str">
        <f>Est!$A80</f>
        <v/>
      </c>
      <c r="C90" s="50" t="str">
        <f>IF($B90="","",Est!$G80)</f>
        <v/>
      </c>
      <c r="D90" s="54" t="str">
        <f t="shared" si="2"/>
        <v/>
      </c>
      <c r="E90" s="54" t="str">
        <f t="shared" si="3"/>
        <v/>
      </c>
    </row>
    <row r="91" spans="2:5">
      <c r="B91" s="26" t="str">
        <f>Est!$A81</f>
        <v/>
      </c>
      <c r="C91" s="50" t="str">
        <f>IF($B91="","",Est!$G81)</f>
        <v/>
      </c>
      <c r="D91" s="54" t="str">
        <f t="shared" si="2"/>
        <v/>
      </c>
      <c r="E91" s="54" t="str">
        <f t="shared" si="3"/>
        <v/>
      </c>
    </row>
    <row r="92" spans="2:5">
      <c r="B92" s="26" t="str">
        <f>Est!$A82</f>
        <v/>
      </c>
      <c r="C92" s="50" t="str">
        <f>IF($B92="","",Est!$G82)</f>
        <v/>
      </c>
      <c r="D92" s="54" t="str">
        <f t="shared" si="2"/>
        <v/>
      </c>
      <c r="E92" s="54" t="str">
        <f t="shared" si="3"/>
        <v/>
      </c>
    </row>
    <row r="93" spans="2:5">
      <c r="B93" s="26" t="str">
        <f>Est!$A83</f>
        <v/>
      </c>
      <c r="C93" s="50" t="str">
        <f>IF($B93="","",Est!$G83)</f>
        <v/>
      </c>
      <c r="D93" s="54" t="str">
        <f t="shared" si="2"/>
        <v/>
      </c>
      <c r="E93" s="54" t="str">
        <f t="shared" si="3"/>
        <v/>
      </c>
    </row>
    <row r="94" spans="2:5">
      <c r="B94" s="26" t="str">
        <f>Est!$A84</f>
        <v/>
      </c>
      <c r="C94" s="50" t="str">
        <f>IF($B94="","",Est!$G84)</f>
        <v/>
      </c>
      <c r="D94" s="54" t="str">
        <f t="shared" si="2"/>
        <v/>
      </c>
      <c r="E94" s="54" t="str">
        <f t="shared" si="3"/>
        <v/>
      </c>
    </row>
    <row r="95" spans="2:5">
      <c r="B95" s="26" t="str">
        <f>Est!$A85</f>
        <v/>
      </c>
      <c r="C95" s="50" t="str">
        <f>IF($B95="","",Est!$G85)</f>
        <v/>
      </c>
      <c r="D95" s="54" t="str">
        <f t="shared" si="2"/>
        <v/>
      </c>
      <c r="E95" s="54" t="str">
        <f t="shared" si="3"/>
        <v/>
      </c>
    </row>
    <row r="96" spans="2:5">
      <c r="B96" s="26" t="str">
        <f>Est!$A86</f>
        <v/>
      </c>
      <c r="C96" s="50" t="str">
        <f>IF($B96="","",Est!$G86)</f>
        <v/>
      </c>
      <c r="D96" s="54" t="str">
        <f t="shared" si="2"/>
        <v/>
      </c>
      <c r="E96" s="54" t="str">
        <f t="shared" si="3"/>
        <v/>
      </c>
    </row>
    <row r="97" spans="2:5">
      <c r="B97" s="26" t="str">
        <f>Est!$A87</f>
        <v/>
      </c>
      <c r="C97" s="50" t="str">
        <f>IF($B97="","",Est!$G87)</f>
        <v/>
      </c>
      <c r="D97" s="54" t="str">
        <f t="shared" si="2"/>
        <v/>
      </c>
      <c r="E97" s="54" t="str">
        <f t="shared" si="3"/>
        <v/>
      </c>
    </row>
    <row r="98" spans="2:5">
      <c r="B98" s="26" t="str">
        <f>Est!$A88</f>
        <v/>
      </c>
      <c r="C98" s="50" t="str">
        <f>IF($B98="","",Est!$G88)</f>
        <v/>
      </c>
      <c r="D98" s="54" t="str">
        <f t="shared" si="2"/>
        <v/>
      </c>
      <c r="E98" s="54" t="str">
        <f t="shared" si="3"/>
        <v/>
      </c>
    </row>
    <row r="99" spans="2:5">
      <c r="B99" s="26" t="str">
        <f>Est!$A89</f>
        <v/>
      </c>
      <c r="C99" s="50" t="str">
        <f>IF($B99="","",Est!$G89)</f>
        <v/>
      </c>
      <c r="D99" s="54" t="str">
        <f t="shared" si="2"/>
        <v/>
      </c>
      <c r="E99" s="54" t="str">
        <f t="shared" si="3"/>
        <v/>
      </c>
    </row>
    <row r="100" spans="2:5">
      <c r="B100" s="26" t="str">
        <f>Est!$A90</f>
        <v/>
      </c>
      <c r="C100" s="50" t="str">
        <f>IF($B100="","",Est!$G90)</f>
        <v/>
      </c>
      <c r="D100" s="54" t="str">
        <f t="shared" si="2"/>
        <v/>
      </c>
      <c r="E100" s="54" t="str">
        <f t="shared" si="3"/>
        <v/>
      </c>
    </row>
    <row r="101" spans="2:5">
      <c r="B101" s="26" t="str">
        <f>Est!$A91</f>
        <v/>
      </c>
      <c r="C101" s="50" t="str">
        <f>IF($B101="","",Est!$G91)</f>
        <v/>
      </c>
      <c r="D101" s="54" t="str">
        <f t="shared" si="2"/>
        <v/>
      </c>
      <c r="E101" s="54" t="str">
        <f t="shared" si="3"/>
        <v/>
      </c>
    </row>
    <row r="102" spans="2:5">
      <c r="B102" s="26" t="str">
        <f>Est!$A92</f>
        <v/>
      </c>
      <c r="C102" s="50" t="str">
        <f>IF($B102="","",Est!$G92)</f>
        <v/>
      </c>
      <c r="D102" s="54" t="str">
        <f t="shared" si="2"/>
        <v/>
      </c>
      <c r="E102" s="54" t="str">
        <f t="shared" si="3"/>
        <v/>
      </c>
    </row>
    <row r="103" spans="2:5">
      <c r="B103" s="26" t="str">
        <f>Est!$A93</f>
        <v/>
      </c>
      <c r="C103" s="50" t="str">
        <f>IF($B103="","",Est!$G93)</f>
        <v/>
      </c>
      <c r="D103" s="54" t="str">
        <f t="shared" si="2"/>
        <v/>
      </c>
      <c r="E103" s="54" t="str">
        <f t="shared" si="3"/>
        <v/>
      </c>
    </row>
    <row r="104" spans="2:5">
      <c r="B104" s="26" t="str">
        <f>Est!$A94</f>
        <v/>
      </c>
      <c r="C104" s="50" t="str">
        <f>IF($B104="","",Est!$G94)</f>
        <v/>
      </c>
      <c r="D104" s="54" t="str">
        <f t="shared" si="2"/>
        <v/>
      </c>
      <c r="E104" s="54" t="str">
        <f t="shared" si="3"/>
        <v/>
      </c>
    </row>
    <row r="105" spans="2:5">
      <c r="B105" s="26" t="str">
        <f>Est!$A95</f>
        <v/>
      </c>
      <c r="C105" s="50" t="str">
        <f>IF($B105="","",Est!$G95)</f>
        <v/>
      </c>
      <c r="D105" s="54" t="str">
        <f t="shared" si="2"/>
        <v/>
      </c>
      <c r="E105" s="54" t="str">
        <f t="shared" si="3"/>
        <v/>
      </c>
    </row>
    <row r="106" spans="2:5">
      <c r="B106" s="26" t="str">
        <f>Est!$A96</f>
        <v/>
      </c>
      <c r="C106" s="50" t="str">
        <f>IF($B106="","",Est!$G96)</f>
        <v/>
      </c>
      <c r="D106" s="54" t="str">
        <f t="shared" si="2"/>
        <v/>
      </c>
      <c r="E106" s="54" t="str">
        <f t="shared" si="3"/>
        <v/>
      </c>
    </row>
    <row r="107" spans="2:5">
      <c r="B107" s="26" t="str">
        <f>Est!$A97</f>
        <v/>
      </c>
      <c r="C107" s="50" t="str">
        <f>IF($B107="","",Est!$G97)</f>
        <v/>
      </c>
      <c r="D107" s="54" t="str">
        <f t="shared" si="2"/>
        <v/>
      </c>
      <c r="E107" s="54" t="str">
        <f t="shared" si="3"/>
        <v/>
      </c>
    </row>
    <row r="108" spans="2:5">
      <c r="B108" s="26" t="str">
        <f>Est!$A98</f>
        <v/>
      </c>
      <c r="C108" s="50" t="str">
        <f>IF($B108="","",Est!$G98)</f>
        <v/>
      </c>
      <c r="D108" s="54" t="str">
        <f t="shared" si="2"/>
        <v/>
      </c>
      <c r="E108" s="54" t="str">
        <f t="shared" si="3"/>
        <v/>
      </c>
    </row>
    <row r="109" spans="2:5">
      <c r="B109" s="26" t="str">
        <f>Est!$A99</f>
        <v/>
      </c>
      <c r="C109" s="50" t="str">
        <f>IF($B109="","",Est!$G99)</f>
        <v/>
      </c>
      <c r="D109" s="54" t="str">
        <f t="shared" si="2"/>
        <v/>
      </c>
      <c r="E109" s="54" t="str">
        <f t="shared" si="3"/>
        <v/>
      </c>
    </row>
    <row r="110" spans="2:5">
      <c r="B110" s="26" t="str">
        <f>Est!$A100</f>
        <v/>
      </c>
      <c r="C110" s="50" t="str">
        <f>IF($B110="","",Est!$G100)</f>
        <v/>
      </c>
      <c r="D110" s="54" t="str">
        <f t="shared" si="2"/>
        <v/>
      </c>
      <c r="E110" s="54" t="str">
        <f t="shared" si="3"/>
        <v/>
      </c>
    </row>
    <row r="111" spans="2:5">
      <c r="B111" s="26" t="str">
        <f>Est!$A101</f>
        <v/>
      </c>
      <c r="C111" s="50" t="str">
        <f>IF($B111="","",Est!$G101)</f>
        <v/>
      </c>
      <c r="D111" s="54" t="str">
        <f t="shared" si="2"/>
        <v/>
      </c>
      <c r="E111" s="54" t="str">
        <f t="shared" si="3"/>
        <v/>
      </c>
    </row>
    <row r="112" spans="2:5">
      <c r="B112" s="26" t="str">
        <f>Est!$A102</f>
        <v/>
      </c>
      <c r="C112" s="50" t="str">
        <f>IF($B112="","",Est!$G102)</f>
        <v/>
      </c>
      <c r="D112" s="54" t="str">
        <f t="shared" si="2"/>
        <v/>
      </c>
      <c r="E112" s="54" t="str">
        <f t="shared" si="3"/>
        <v/>
      </c>
    </row>
    <row r="113" spans="2:5">
      <c r="B113" s="26" t="str">
        <f>Est!$A103</f>
        <v/>
      </c>
      <c r="C113" s="50" t="str">
        <f>IF($B113="","",Est!$G103)</f>
        <v/>
      </c>
      <c r="D113" s="54" t="str">
        <f t="shared" si="2"/>
        <v/>
      </c>
      <c r="E113" s="54" t="str">
        <f t="shared" si="3"/>
        <v/>
      </c>
    </row>
    <row r="114" spans="2:5">
      <c r="B114" s="26" t="str">
        <f>Est!$A104</f>
        <v/>
      </c>
      <c r="C114" s="50" t="str">
        <f>IF($B114="","",Est!$G104)</f>
        <v/>
      </c>
      <c r="D114" s="54" t="str">
        <f t="shared" si="2"/>
        <v/>
      </c>
      <c r="E114" s="54" t="str">
        <f t="shared" si="3"/>
        <v/>
      </c>
    </row>
    <row r="115" spans="2:5">
      <c r="B115" s="26" t="str">
        <f>Est!$A105</f>
        <v/>
      </c>
      <c r="C115" s="50" t="str">
        <f>IF($B115="","",Est!$G105)</f>
        <v/>
      </c>
      <c r="D115" s="54" t="str">
        <f t="shared" si="2"/>
        <v/>
      </c>
      <c r="E115" s="54" t="str">
        <f t="shared" si="3"/>
        <v/>
      </c>
    </row>
    <row r="116" spans="2:5">
      <c r="B116" s="26" t="str">
        <f>Est!$A106</f>
        <v/>
      </c>
      <c r="C116" s="50" t="str">
        <f>IF($B116="","",Est!$G106)</f>
        <v/>
      </c>
      <c r="D116" s="54" t="str">
        <f t="shared" si="2"/>
        <v/>
      </c>
      <c r="E116" s="54" t="str">
        <f t="shared" si="3"/>
        <v/>
      </c>
    </row>
    <row r="117" spans="2:5">
      <c r="B117" s="26" t="str">
        <f>Est!$A107</f>
        <v/>
      </c>
      <c r="C117" s="50" t="str">
        <f>IF($B117="","",Est!$G107)</f>
        <v/>
      </c>
      <c r="D117" s="54" t="str">
        <f t="shared" si="2"/>
        <v/>
      </c>
      <c r="E117" s="54" t="str">
        <f t="shared" si="3"/>
        <v/>
      </c>
    </row>
    <row r="118" spans="2:5">
      <c r="B118" s="26" t="str">
        <f>Est!$A108</f>
        <v/>
      </c>
      <c r="C118" s="50" t="str">
        <f>IF($B118="","",Est!$G108)</f>
        <v/>
      </c>
      <c r="D118" s="54" t="str">
        <f t="shared" si="2"/>
        <v/>
      </c>
      <c r="E118" s="54" t="str">
        <f t="shared" si="3"/>
        <v/>
      </c>
    </row>
    <row r="119" spans="2:5">
      <c r="B119" s="26" t="str">
        <f>Est!$A109</f>
        <v/>
      </c>
      <c r="C119" s="50" t="str">
        <f>IF($B119="","",Est!$G109)</f>
        <v/>
      </c>
      <c r="D119" s="54" t="str">
        <f t="shared" si="2"/>
        <v/>
      </c>
      <c r="E119" s="54" t="str">
        <f t="shared" si="3"/>
        <v/>
      </c>
    </row>
    <row r="120" spans="2:5">
      <c r="B120" s="26" t="str">
        <f>Est!$A110</f>
        <v/>
      </c>
      <c r="C120" s="50" t="str">
        <f>IF($B120="","",Est!$G110)</f>
        <v/>
      </c>
      <c r="D120" s="54" t="str">
        <f t="shared" si="2"/>
        <v/>
      </c>
      <c r="E120" s="54" t="str">
        <f t="shared" si="3"/>
        <v/>
      </c>
    </row>
    <row r="121" spans="2:5">
      <c r="B121" s="26" t="str">
        <f>Est!$A111</f>
        <v/>
      </c>
      <c r="C121" s="50" t="str">
        <f>IF($B121="","",Est!$G111)</f>
        <v/>
      </c>
      <c r="D121" s="54" t="str">
        <f t="shared" si="2"/>
        <v/>
      </c>
      <c r="E121" s="54" t="str">
        <f t="shared" si="3"/>
        <v/>
      </c>
    </row>
    <row r="122" spans="2:5">
      <c r="B122" s="26" t="str">
        <f>Est!$A112</f>
        <v/>
      </c>
      <c r="C122" s="50" t="str">
        <f>IF($B122="","",Est!$G112)</f>
        <v/>
      </c>
      <c r="D122" s="54" t="str">
        <f t="shared" si="2"/>
        <v/>
      </c>
      <c r="E122" s="54" t="str">
        <f t="shared" si="3"/>
        <v/>
      </c>
    </row>
    <row r="123" spans="2:5">
      <c r="B123" s="26" t="str">
        <f>Est!$A113</f>
        <v/>
      </c>
      <c r="C123" s="50" t="str">
        <f>IF($B123="","",Est!$G113)</f>
        <v/>
      </c>
      <c r="D123" s="54" t="str">
        <f t="shared" si="2"/>
        <v/>
      </c>
      <c r="E123" s="54" t="str">
        <f t="shared" si="3"/>
        <v/>
      </c>
    </row>
    <row r="124" spans="2:5">
      <c r="B124" s="26" t="str">
        <f>Est!$A114</f>
        <v/>
      </c>
      <c r="C124" s="50" t="str">
        <f>IF($B124="","",Est!$G114)</f>
        <v/>
      </c>
      <c r="D124" s="54" t="str">
        <f t="shared" si="2"/>
        <v/>
      </c>
      <c r="E124" s="54" t="str">
        <f t="shared" si="3"/>
        <v/>
      </c>
    </row>
    <row r="125" spans="2:5">
      <c r="B125" s="26" t="str">
        <f>Est!$A115</f>
        <v/>
      </c>
      <c r="C125" s="50" t="str">
        <f>IF($B125="","",Est!$G115)</f>
        <v/>
      </c>
      <c r="D125" s="54" t="str">
        <f t="shared" si="2"/>
        <v/>
      </c>
      <c r="E125" s="54" t="str">
        <f t="shared" si="3"/>
        <v/>
      </c>
    </row>
    <row r="126" spans="2:5">
      <c r="B126" s="26" t="str">
        <f>Est!$A116</f>
        <v/>
      </c>
      <c r="C126" s="50" t="str">
        <f>IF($B126="","",Est!$G116)</f>
        <v/>
      </c>
      <c r="D126" s="54" t="str">
        <f t="shared" si="2"/>
        <v/>
      </c>
      <c r="E126" s="54" t="str">
        <f t="shared" si="3"/>
        <v/>
      </c>
    </row>
    <row r="127" spans="2:5">
      <c r="B127" s="26" t="str">
        <f>Est!$A117</f>
        <v/>
      </c>
      <c r="C127" s="50" t="str">
        <f>IF($B127="","",Est!$G117)</f>
        <v/>
      </c>
      <c r="D127" s="54" t="str">
        <f t="shared" si="2"/>
        <v/>
      </c>
      <c r="E127" s="54" t="str">
        <f t="shared" si="3"/>
        <v/>
      </c>
    </row>
    <row r="128" spans="2:5">
      <c r="B128" s="26" t="str">
        <f>Est!$A118</f>
        <v/>
      </c>
      <c r="C128" s="50" t="str">
        <f>IF($B128="","",Est!$G118)</f>
        <v/>
      </c>
      <c r="D128" s="54" t="str">
        <f t="shared" si="2"/>
        <v/>
      </c>
      <c r="E128" s="54" t="str">
        <f t="shared" si="3"/>
        <v/>
      </c>
    </row>
    <row r="129" spans="2:5">
      <c r="B129" s="26" t="str">
        <f>Est!$A119</f>
        <v/>
      </c>
      <c r="C129" s="50" t="str">
        <f>IF($B129="","",Est!$G119)</f>
        <v/>
      </c>
      <c r="D129" s="54" t="str">
        <f t="shared" si="2"/>
        <v/>
      </c>
      <c r="E129" s="54" t="str">
        <f t="shared" si="3"/>
        <v/>
      </c>
    </row>
    <row r="130" spans="2:5">
      <c r="B130" s="26" t="str">
        <f>Est!$A120</f>
        <v/>
      </c>
      <c r="C130" s="50" t="str">
        <f>IF($B130="","",Est!$G120)</f>
        <v/>
      </c>
      <c r="D130" s="54" t="str">
        <f t="shared" si="2"/>
        <v/>
      </c>
      <c r="E130" s="54" t="str">
        <f t="shared" si="3"/>
        <v/>
      </c>
    </row>
    <row r="131" spans="2:5">
      <c r="B131" s="26" t="str">
        <f>Est!$A121</f>
        <v/>
      </c>
      <c r="C131" s="50" t="str">
        <f>IF($B131="","",Est!$G121)</f>
        <v/>
      </c>
      <c r="D131" s="54" t="str">
        <f t="shared" si="2"/>
        <v/>
      </c>
      <c r="E131" s="54" t="str">
        <f t="shared" si="3"/>
        <v/>
      </c>
    </row>
    <row r="132" spans="2:5">
      <c r="B132" s="26" t="str">
        <f>Est!$A122</f>
        <v/>
      </c>
      <c r="C132" s="50" t="str">
        <f>IF($B132="","",Est!$G122)</f>
        <v/>
      </c>
      <c r="D132" s="54" t="str">
        <f t="shared" si="2"/>
        <v/>
      </c>
      <c r="E132" s="54" t="str">
        <f t="shared" si="3"/>
        <v/>
      </c>
    </row>
    <row r="133" spans="2:5">
      <c r="B133" s="26" t="str">
        <f>Est!$A123</f>
        <v/>
      </c>
      <c r="C133" s="50" t="str">
        <f>IF($B133="","",Est!$G123)</f>
        <v/>
      </c>
      <c r="D133" s="54" t="str">
        <f t="shared" si="2"/>
        <v/>
      </c>
      <c r="E133" s="54" t="str">
        <f t="shared" si="3"/>
        <v/>
      </c>
    </row>
    <row r="134" spans="2:5">
      <c r="B134" s="26" t="str">
        <f>Est!$A124</f>
        <v/>
      </c>
      <c r="C134" s="50" t="str">
        <f>IF($B134="","",Est!$G124)</f>
        <v/>
      </c>
      <c r="D134" s="54" t="str">
        <f t="shared" si="2"/>
        <v/>
      </c>
      <c r="E134" s="54" t="str">
        <f t="shared" si="3"/>
        <v/>
      </c>
    </row>
    <row r="135" spans="2:5">
      <c r="B135" s="26" t="str">
        <f>Est!$A125</f>
        <v/>
      </c>
      <c r="C135" s="50" t="str">
        <f>IF($B135="","",Est!$G125)</f>
        <v/>
      </c>
      <c r="D135" s="54" t="str">
        <f t="shared" si="2"/>
        <v/>
      </c>
      <c r="E135" s="54" t="str">
        <f t="shared" si="3"/>
        <v/>
      </c>
    </row>
    <row r="136" spans="2:5">
      <c r="B136" s="26" t="str">
        <f>Est!$A126</f>
        <v/>
      </c>
      <c r="C136" s="50" t="str">
        <f>IF($B136="","",Est!$G126)</f>
        <v/>
      </c>
      <c r="D136" s="54" t="str">
        <f t="shared" si="2"/>
        <v/>
      </c>
      <c r="E136" s="54" t="str">
        <f t="shared" si="3"/>
        <v/>
      </c>
    </row>
    <row r="137" spans="2:5">
      <c r="B137" s="26" t="str">
        <f>Est!$A127</f>
        <v/>
      </c>
      <c r="C137" s="50" t="str">
        <f>IF($B137="","",Est!$G127)</f>
        <v/>
      </c>
      <c r="D137" s="54" t="str">
        <f t="shared" si="2"/>
        <v/>
      </c>
      <c r="E137" s="54" t="str">
        <f t="shared" si="3"/>
        <v/>
      </c>
    </row>
    <row r="138" spans="2:5">
      <c r="B138" s="26" t="str">
        <f>Est!$A128</f>
        <v/>
      </c>
      <c r="C138" s="50" t="str">
        <f>IF($B138="","",Est!$G128)</f>
        <v/>
      </c>
      <c r="D138" s="54" t="str">
        <f t="shared" si="2"/>
        <v/>
      </c>
      <c r="E138" s="54" t="str">
        <f t="shared" si="3"/>
        <v/>
      </c>
    </row>
    <row r="139" spans="2:5">
      <c r="B139" s="26" t="str">
        <f>Est!$A129</f>
        <v/>
      </c>
      <c r="C139" s="50" t="str">
        <f>IF($B139="","",Est!$G129)</f>
        <v/>
      </c>
      <c r="D139" s="54" t="str">
        <f t="shared" si="2"/>
        <v/>
      </c>
      <c r="E139" s="54" t="str">
        <f t="shared" si="3"/>
        <v/>
      </c>
    </row>
    <row r="140" spans="2:5">
      <c r="B140" s="26" t="str">
        <f>Est!$A130</f>
        <v/>
      </c>
      <c r="C140" s="50" t="str">
        <f>IF($B140="","",Est!$G130)</f>
        <v/>
      </c>
      <c r="D140" s="54" t="str">
        <f t="shared" si="2"/>
        <v/>
      </c>
      <c r="E140" s="54" t="str">
        <f t="shared" si="3"/>
        <v/>
      </c>
    </row>
    <row r="141" spans="2:5">
      <c r="B141" s="26" t="str">
        <f>Est!$A131</f>
        <v/>
      </c>
      <c r="C141" s="50" t="str">
        <f>IF($B141="","",Est!$G131)</f>
        <v/>
      </c>
      <c r="D141" s="54" t="str">
        <f t="shared" si="2"/>
        <v/>
      </c>
      <c r="E141" s="54" t="str">
        <f t="shared" si="3"/>
        <v/>
      </c>
    </row>
    <row r="142" spans="2:5">
      <c r="B142" s="26" t="str">
        <f>Est!$A132</f>
        <v/>
      </c>
      <c r="C142" s="50" t="str">
        <f>IF($B142="","",Est!$G132)</f>
        <v/>
      </c>
      <c r="D142" s="54" t="str">
        <f t="shared" si="2"/>
        <v/>
      </c>
      <c r="E142" s="54" t="str">
        <f t="shared" si="3"/>
        <v/>
      </c>
    </row>
    <row r="143" spans="2:5">
      <c r="B143" s="26" t="str">
        <f>Est!$A133</f>
        <v/>
      </c>
      <c r="C143" s="50" t="str">
        <f>IF($B143="","",Est!$G133)</f>
        <v/>
      </c>
      <c r="D143" s="54" t="str">
        <f t="shared" ref="D143:D206" si="4">IF(AND(ISNUMBER(C143),ISNUMBER($C$6)),C143/$C$6,"")</f>
        <v/>
      </c>
      <c r="E143" s="54" t="str">
        <f t="shared" ref="E143:E206" si="5">IF(AND(ISNUMBER(C143),ISNUMBER($C$9)),C143/$C$9*$C$10,"")</f>
        <v/>
      </c>
    </row>
    <row r="144" spans="2:5">
      <c r="B144" s="26" t="str">
        <f>Est!$A134</f>
        <v/>
      </c>
      <c r="C144" s="50" t="str">
        <f>IF($B144="","",Est!$G134)</f>
        <v/>
      </c>
      <c r="D144" s="54" t="str">
        <f t="shared" si="4"/>
        <v/>
      </c>
      <c r="E144" s="54" t="str">
        <f t="shared" si="5"/>
        <v/>
      </c>
    </row>
    <row r="145" spans="2:5">
      <c r="B145" s="26" t="str">
        <f>Est!$A135</f>
        <v/>
      </c>
      <c r="C145" s="50" t="str">
        <f>IF($B145="","",Est!$G135)</f>
        <v/>
      </c>
      <c r="D145" s="54" t="str">
        <f t="shared" si="4"/>
        <v/>
      </c>
      <c r="E145" s="54" t="str">
        <f t="shared" si="5"/>
        <v/>
      </c>
    </row>
    <row r="146" spans="2:5">
      <c r="B146" s="26" t="str">
        <f>Est!$A136</f>
        <v/>
      </c>
      <c r="C146" s="50" t="str">
        <f>IF($B146="","",Est!$G136)</f>
        <v/>
      </c>
      <c r="D146" s="54" t="str">
        <f t="shared" si="4"/>
        <v/>
      </c>
      <c r="E146" s="54" t="str">
        <f t="shared" si="5"/>
        <v/>
      </c>
    </row>
    <row r="147" spans="2:5">
      <c r="B147" s="26" t="str">
        <f>Est!$A137</f>
        <v/>
      </c>
      <c r="C147" s="50" t="str">
        <f>IF($B147="","",Est!$G137)</f>
        <v/>
      </c>
      <c r="D147" s="54" t="str">
        <f t="shared" si="4"/>
        <v/>
      </c>
      <c r="E147" s="54" t="str">
        <f t="shared" si="5"/>
        <v/>
      </c>
    </row>
    <row r="148" spans="2:5">
      <c r="B148" s="26" t="str">
        <f>Est!$A138</f>
        <v/>
      </c>
      <c r="C148" s="50" t="str">
        <f>IF($B148="","",Est!$G138)</f>
        <v/>
      </c>
      <c r="D148" s="54" t="str">
        <f t="shared" si="4"/>
        <v/>
      </c>
      <c r="E148" s="54" t="str">
        <f t="shared" si="5"/>
        <v/>
      </c>
    </row>
    <row r="149" spans="2:5">
      <c r="B149" s="26" t="str">
        <f>Est!$A139</f>
        <v/>
      </c>
      <c r="C149" s="50" t="str">
        <f>IF($B149="","",Est!$G139)</f>
        <v/>
      </c>
      <c r="D149" s="54" t="str">
        <f t="shared" si="4"/>
        <v/>
      </c>
      <c r="E149" s="54" t="str">
        <f t="shared" si="5"/>
        <v/>
      </c>
    </row>
    <row r="150" spans="2:5">
      <c r="B150" s="26" t="str">
        <f>Est!$A140</f>
        <v/>
      </c>
      <c r="C150" s="50" t="str">
        <f>IF($B150="","",Est!$G140)</f>
        <v/>
      </c>
      <c r="D150" s="54" t="str">
        <f t="shared" si="4"/>
        <v/>
      </c>
      <c r="E150" s="54" t="str">
        <f t="shared" si="5"/>
        <v/>
      </c>
    </row>
    <row r="151" spans="2:5">
      <c r="B151" s="26" t="str">
        <f>Est!$A141</f>
        <v/>
      </c>
      <c r="C151" s="50" t="str">
        <f>IF($B151="","",Est!$G141)</f>
        <v/>
      </c>
      <c r="D151" s="54" t="str">
        <f t="shared" si="4"/>
        <v/>
      </c>
      <c r="E151" s="54" t="str">
        <f t="shared" si="5"/>
        <v/>
      </c>
    </row>
    <row r="152" spans="2:5">
      <c r="B152" s="26" t="str">
        <f>Est!$A142</f>
        <v/>
      </c>
      <c r="C152" s="50" t="str">
        <f>IF($B152="","",Est!$G142)</f>
        <v/>
      </c>
      <c r="D152" s="54" t="str">
        <f t="shared" si="4"/>
        <v/>
      </c>
      <c r="E152" s="54" t="str">
        <f t="shared" si="5"/>
        <v/>
      </c>
    </row>
    <row r="153" spans="2:5">
      <c r="B153" s="26" t="str">
        <f>Est!$A143</f>
        <v/>
      </c>
      <c r="C153" s="50" t="str">
        <f>IF($B153="","",Est!$G143)</f>
        <v/>
      </c>
      <c r="D153" s="54" t="str">
        <f t="shared" si="4"/>
        <v/>
      </c>
      <c r="E153" s="54" t="str">
        <f t="shared" si="5"/>
        <v/>
      </c>
    </row>
    <row r="154" spans="2:5">
      <c r="B154" s="26" t="str">
        <f>Est!$A144</f>
        <v/>
      </c>
      <c r="C154" s="50" t="str">
        <f>IF($B154="","",Est!$G144)</f>
        <v/>
      </c>
      <c r="D154" s="54" t="str">
        <f t="shared" si="4"/>
        <v/>
      </c>
      <c r="E154" s="54" t="str">
        <f t="shared" si="5"/>
        <v/>
      </c>
    </row>
    <row r="155" spans="2:5">
      <c r="B155" s="26" t="str">
        <f>Est!$A145</f>
        <v/>
      </c>
      <c r="C155" s="50" t="str">
        <f>IF($B155="","",Est!$G145)</f>
        <v/>
      </c>
      <c r="D155" s="54" t="str">
        <f t="shared" si="4"/>
        <v/>
      </c>
      <c r="E155" s="54" t="str">
        <f t="shared" si="5"/>
        <v/>
      </c>
    </row>
    <row r="156" spans="2:5">
      <c r="B156" s="26" t="str">
        <f>Est!$A146</f>
        <v/>
      </c>
      <c r="C156" s="50" t="str">
        <f>IF($B156="","",Est!$G146)</f>
        <v/>
      </c>
      <c r="D156" s="54" t="str">
        <f t="shared" si="4"/>
        <v/>
      </c>
      <c r="E156" s="54" t="str">
        <f t="shared" si="5"/>
        <v/>
      </c>
    </row>
    <row r="157" spans="2:5">
      <c r="B157" s="26" t="str">
        <f>Est!$A147</f>
        <v/>
      </c>
      <c r="C157" s="50" t="str">
        <f>IF($B157="","",Est!$G147)</f>
        <v/>
      </c>
      <c r="D157" s="54" t="str">
        <f t="shared" si="4"/>
        <v/>
      </c>
      <c r="E157" s="54" t="str">
        <f t="shared" si="5"/>
        <v/>
      </c>
    </row>
    <row r="158" spans="2:5">
      <c r="B158" s="26" t="str">
        <f>Est!$A148</f>
        <v/>
      </c>
      <c r="C158" s="50" t="str">
        <f>IF($B158="","",Est!$G148)</f>
        <v/>
      </c>
      <c r="D158" s="54" t="str">
        <f t="shared" si="4"/>
        <v/>
      </c>
      <c r="E158" s="54" t="str">
        <f t="shared" si="5"/>
        <v/>
      </c>
    </row>
    <row r="159" spans="2:5">
      <c r="B159" s="26" t="str">
        <f>Est!$A149</f>
        <v/>
      </c>
      <c r="C159" s="50" t="str">
        <f>IF($B159="","",Est!$G149)</f>
        <v/>
      </c>
      <c r="D159" s="54" t="str">
        <f t="shared" si="4"/>
        <v/>
      </c>
      <c r="E159" s="54" t="str">
        <f t="shared" si="5"/>
        <v/>
      </c>
    </row>
    <row r="160" spans="2:5">
      <c r="B160" s="26" t="str">
        <f>Est!$A150</f>
        <v/>
      </c>
      <c r="C160" s="50" t="str">
        <f>IF($B160="","",Est!$G150)</f>
        <v/>
      </c>
      <c r="D160" s="54" t="str">
        <f t="shared" si="4"/>
        <v/>
      </c>
      <c r="E160" s="54" t="str">
        <f t="shared" si="5"/>
        <v/>
      </c>
    </row>
    <row r="161" spans="2:5">
      <c r="B161" s="26" t="str">
        <f>Est!$A151</f>
        <v/>
      </c>
      <c r="C161" s="50" t="str">
        <f>IF($B161="","",Est!$G151)</f>
        <v/>
      </c>
      <c r="D161" s="54" t="str">
        <f t="shared" si="4"/>
        <v/>
      </c>
      <c r="E161" s="54" t="str">
        <f t="shared" si="5"/>
        <v/>
      </c>
    </row>
    <row r="162" spans="2:5">
      <c r="B162" s="26" t="str">
        <f>Est!$A152</f>
        <v/>
      </c>
      <c r="C162" s="50" t="str">
        <f>IF($B162="","",Est!$G152)</f>
        <v/>
      </c>
      <c r="D162" s="54" t="str">
        <f t="shared" si="4"/>
        <v/>
      </c>
      <c r="E162" s="54" t="str">
        <f t="shared" si="5"/>
        <v/>
      </c>
    </row>
    <row r="163" spans="2:5">
      <c r="B163" s="26" t="str">
        <f>Est!$A153</f>
        <v/>
      </c>
      <c r="C163" s="50" t="str">
        <f>IF($B163="","",Est!$G153)</f>
        <v/>
      </c>
      <c r="D163" s="54" t="str">
        <f t="shared" si="4"/>
        <v/>
      </c>
      <c r="E163" s="54" t="str">
        <f t="shared" si="5"/>
        <v/>
      </c>
    </row>
    <row r="164" spans="2:5">
      <c r="B164" s="26" t="str">
        <f>Est!$A154</f>
        <v/>
      </c>
      <c r="C164" s="50" t="str">
        <f>IF($B164="","",Est!$G154)</f>
        <v/>
      </c>
      <c r="D164" s="54" t="str">
        <f t="shared" si="4"/>
        <v/>
      </c>
      <c r="E164" s="54" t="str">
        <f t="shared" si="5"/>
        <v/>
      </c>
    </row>
    <row r="165" spans="2:5">
      <c r="B165" s="26" t="str">
        <f>Est!$A155</f>
        <v/>
      </c>
      <c r="C165" s="50" t="str">
        <f>IF($B165="","",Est!$G155)</f>
        <v/>
      </c>
      <c r="D165" s="54" t="str">
        <f t="shared" si="4"/>
        <v/>
      </c>
      <c r="E165" s="54" t="str">
        <f t="shared" si="5"/>
        <v/>
      </c>
    </row>
    <row r="166" spans="2:5">
      <c r="B166" s="26" t="str">
        <f>Est!$A156</f>
        <v/>
      </c>
      <c r="C166" s="50" t="str">
        <f>IF($B166="","",Est!$G156)</f>
        <v/>
      </c>
      <c r="D166" s="54" t="str">
        <f t="shared" si="4"/>
        <v/>
      </c>
      <c r="E166" s="54" t="str">
        <f t="shared" si="5"/>
        <v/>
      </c>
    </row>
    <row r="167" spans="2:5">
      <c r="B167" s="26" t="str">
        <f>Est!$A157</f>
        <v/>
      </c>
      <c r="C167" s="50" t="str">
        <f>IF($B167="","",Est!$G157)</f>
        <v/>
      </c>
      <c r="D167" s="54" t="str">
        <f t="shared" si="4"/>
        <v/>
      </c>
      <c r="E167" s="54" t="str">
        <f t="shared" si="5"/>
        <v/>
      </c>
    </row>
    <row r="168" spans="2:5">
      <c r="B168" s="26" t="str">
        <f>Est!$A158</f>
        <v/>
      </c>
      <c r="C168" s="50" t="str">
        <f>IF($B168="","",Est!$G158)</f>
        <v/>
      </c>
      <c r="D168" s="54" t="str">
        <f t="shared" si="4"/>
        <v/>
      </c>
      <c r="E168" s="54" t="str">
        <f t="shared" si="5"/>
        <v/>
      </c>
    </row>
    <row r="169" spans="2:5">
      <c r="B169" s="26" t="str">
        <f>Est!$A159</f>
        <v/>
      </c>
      <c r="C169" s="50" t="str">
        <f>IF($B169="","",Est!$G159)</f>
        <v/>
      </c>
      <c r="D169" s="54" t="str">
        <f t="shared" si="4"/>
        <v/>
      </c>
      <c r="E169" s="54" t="str">
        <f t="shared" si="5"/>
        <v/>
      </c>
    </row>
    <row r="170" spans="2:5">
      <c r="B170" s="26" t="str">
        <f>Est!$A160</f>
        <v/>
      </c>
      <c r="C170" s="50" t="str">
        <f>IF($B170="","",Est!$G160)</f>
        <v/>
      </c>
      <c r="D170" s="54" t="str">
        <f t="shared" si="4"/>
        <v/>
      </c>
      <c r="E170" s="54" t="str">
        <f t="shared" si="5"/>
        <v/>
      </c>
    </row>
    <row r="171" spans="2:5">
      <c r="B171" s="26" t="str">
        <f>Est!$A161</f>
        <v/>
      </c>
      <c r="C171" s="50" t="str">
        <f>IF($B171="","",Est!$G161)</f>
        <v/>
      </c>
      <c r="D171" s="54" t="str">
        <f t="shared" si="4"/>
        <v/>
      </c>
      <c r="E171" s="54" t="str">
        <f t="shared" si="5"/>
        <v/>
      </c>
    </row>
    <row r="172" spans="2:5">
      <c r="B172" s="26" t="str">
        <f>Est!$A162</f>
        <v/>
      </c>
      <c r="C172" s="50" t="str">
        <f>IF($B172="","",Est!$G162)</f>
        <v/>
      </c>
      <c r="D172" s="54" t="str">
        <f t="shared" si="4"/>
        <v/>
      </c>
      <c r="E172" s="54" t="str">
        <f t="shared" si="5"/>
        <v/>
      </c>
    </row>
    <row r="173" spans="2:5">
      <c r="B173" s="26" t="str">
        <f>Est!$A163</f>
        <v/>
      </c>
      <c r="C173" s="50" t="str">
        <f>IF($B173="","",Est!$G163)</f>
        <v/>
      </c>
      <c r="D173" s="54" t="str">
        <f t="shared" si="4"/>
        <v/>
      </c>
      <c r="E173" s="54" t="str">
        <f t="shared" si="5"/>
        <v/>
      </c>
    </row>
    <row r="174" spans="2:5">
      <c r="B174" s="26" t="str">
        <f>Est!$A164</f>
        <v/>
      </c>
      <c r="C174" s="50" t="str">
        <f>IF($B174="","",Est!$G164)</f>
        <v/>
      </c>
      <c r="D174" s="54" t="str">
        <f t="shared" si="4"/>
        <v/>
      </c>
      <c r="E174" s="54" t="str">
        <f t="shared" si="5"/>
        <v/>
      </c>
    </row>
    <row r="175" spans="2:5">
      <c r="B175" s="26" t="str">
        <f>Est!$A165</f>
        <v/>
      </c>
      <c r="C175" s="50" t="str">
        <f>IF($B175="","",Est!$G165)</f>
        <v/>
      </c>
      <c r="D175" s="54" t="str">
        <f t="shared" si="4"/>
        <v/>
      </c>
      <c r="E175" s="54" t="str">
        <f t="shared" si="5"/>
        <v/>
      </c>
    </row>
    <row r="176" spans="2:5">
      <c r="B176" s="26" t="str">
        <f>Est!$A166</f>
        <v/>
      </c>
      <c r="C176" s="50" t="str">
        <f>IF($B176="","",Est!$G166)</f>
        <v/>
      </c>
      <c r="D176" s="54" t="str">
        <f t="shared" si="4"/>
        <v/>
      </c>
      <c r="E176" s="54" t="str">
        <f t="shared" si="5"/>
        <v/>
      </c>
    </row>
    <row r="177" spans="2:5">
      <c r="B177" s="26" t="str">
        <f>Est!$A167</f>
        <v/>
      </c>
      <c r="C177" s="50" t="str">
        <f>IF($B177="","",Est!$G167)</f>
        <v/>
      </c>
      <c r="D177" s="54" t="str">
        <f t="shared" si="4"/>
        <v/>
      </c>
      <c r="E177" s="54" t="str">
        <f t="shared" si="5"/>
        <v/>
      </c>
    </row>
    <row r="178" spans="2:5">
      <c r="B178" s="26" t="str">
        <f>Est!$A168</f>
        <v/>
      </c>
      <c r="C178" s="50" t="str">
        <f>IF($B178="","",Est!$G168)</f>
        <v/>
      </c>
      <c r="D178" s="54" t="str">
        <f t="shared" si="4"/>
        <v/>
      </c>
      <c r="E178" s="54" t="str">
        <f t="shared" si="5"/>
        <v/>
      </c>
    </row>
    <row r="179" spans="2:5">
      <c r="B179" s="26" t="str">
        <f>Est!$A169</f>
        <v/>
      </c>
      <c r="C179" s="50" t="str">
        <f>IF($B179="","",Est!$G169)</f>
        <v/>
      </c>
      <c r="D179" s="54" t="str">
        <f t="shared" si="4"/>
        <v/>
      </c>
      <c r="E179" s="54" t="str">
        <f t="shared" si="5"/>
        <v/>
      </c>
    </row>
    <row r="180" spans="2:5">
      <c r="B180" s="26" t="str">
        <f>Est!$A170</f>
        <v/>
      </c>
      <c r="C180" s="50" t="str">
        <f>IF($B180="","",Est!$G170)</f>
        <v/>
      </c>
      <c r="D180" s="54" t="str">
        <f t="shared" si="4"/>
        <v/>
      </c>
      <c r="E180" s="54" t="str">
        <f t="shared" si="5"/>
        <v/>
      </c>
    </row>
    <row r="181" spans="2:5">
      <c r="B181" s="26" t="str">
        <f>Est!$A171</f>
        <v/>
      </c>
      <c r="C181" s="50" t="str">
        <f>IF($B181="","",Est!$G171)</f>
        <v/>
      </c>
      <c r="D181" s="54" t="str">
        <f t="shared" si="4"/>
        <v/>
      </c>
      <c r="E181" s="54" t="str">
        <f t="shared" si="5"/>
        <v/>
      </c>
    </row>
    <row r="182" spans="2:5">
      <c r="B182" s="26" t="str">
        <f>Est!$A172</f>
        <v/>
      </c>
      <c r="C182" s="50" t="str">
        <f>IF($B182="","",Est!$G172)</f>
        <v/>
      </c>
      <c r="D182" s="54" t="str">
        <f t="shared" si="4"/>
        <v/>
      </c>
      <c r="E182" s="54" t="str">
        <f t="shared" si="5"/>
        <v/>
      </c>
    </row>
    <row r="183" spans="2:5">
      <c r="B183" s="26" t="str">
        <f>Est!$A173</f>
        <v/>
      </c>
      <c r="C183" s="50" t="str">
        <f>IF($B183="","",Est!$G173)</f>
        <v/>
      </c>
      <c r="D183" s="54" t="str">
        <f t="shared" si="4"/>
        <v/>
      </c>
      <c r="E183" s="54" t="str">
        <f t="shared" si="5"/>
        <v/>
      </c>
    </row>
    <row r="184" spans="2:5">
      <c r="B184" s="26" t="str">
        <f>Est!$A174</f>
        <v/>
      </c>
      <c r="C184" s="50" t="str">
        <f>IF($B184="","",Est!$G174)</f>
        <v/>
      </c>
      <c r="D184" s="54" t="str">
        <f t="shared" si="4"/>
        <v/>
      </c>
      <c r="E184" s="54" t="str">
        <f t="shared" si="5"/>
        <v/>
      </c>
    </row>
    <row r="185" spans="2:5">
      <c r="B185" s="26" t="str">
        <f>Est!$A175</f>
        <v/>
      </c>
      <c r="C185" s="50" t="str">
        <f>IF($B185="","",Est!$G175)</f>
        <v/>
      </c>
      <c r="D185" s="54" t="str">
        <f t="shared" si="4"/>
        <v/>
      </c>
      <c r="E185" s="54" t="str">
        <f t="shared" si="5"/>
        <v/>
      </c>
    </row>
    <row r="186" spans="2:5">
      <c r="B186" s="26" t="str">
        <f>Est!$A176</f>
        <v/>
      </c>
      <c r="C186" s="50" t="str">
        <f>IF($B186="","",Est!$G176)</f>
        <v/>
      </c>
      <c r="D186" s="54" t="str">
        <f t="shared" si="4"/>
        <v/>
      </c>
      <c r="E186" s="54" t="str">
        <f t="shared" si="5"/>
        <v/>
      </c>
    </row>
    <row r="187" spans="2:5">
      <c r="B187" s="26" t="str">
        <f>Est!$A177</f>
        <v/>
      </c>
      <c r="C187" s="50" t="str">
        <f>IF($B187="","",Est!$G177)</f>
        <v/>
      </c>
      <c r="D187" s="54" t="str">
        <f t="shared" si="4"/>
        <v/>
      </c>
      <c r="E187" s="54" t="str">
        <f t="shared" si="5"/>
        <v/>
      </c>
    </row>
    <row r="188" spans="2:5">
      <c r="B188" s="26" t="str">
        <f>Est!$A178</f>
        <v/>
      </c>
      <c r="C188" s="50" t="str">
        <f>IF($B188="","",Est!$G178)</f>
        <v/>
      </c>
      <c r="D188" s="54" t="str">
        <f t="shared" si="4"/>
        <v/>
      </c>
      <c r="E188" s="54" t="str">
        <f t="shared" si="5"/>
        <v/>
      </c>
    </row>
    <row r="189" spans="2:5">
      <c r="B189" s="26" t="str">
        <f>Est!$A179</f>
        <v/>
      </c>
      <c r="C189" s="50" t="str">
        <f>IF($B189="","",Est!$G179)</f>
        <v/>
      </c>
      <c r="D189" s="54" t="str">
        <f t="shared" si="4"/>
        <v/>
      </c>
      <c r="E189" s="54" t="str">
        <f t="shared" si="5"/>
        <v/>
      </c>
    </row>
    <row r="190" spans="2:5">
      <c r="B190" s="26" t="str">
        <f>Est!$A180</f>
        <v/>
      </c>
      <c r="C190" s="50" t="str">
        <f>IF($B190="","",Est!$G180)</f>
        <v/>
      </c>
      <c r="D190" s="54" t="str">
        <f t="shared" si="4"/>
        <v/>
      </c>
      <c r="E190" s="54" t="str">
        <f t="shared" si="5"/>
        <v/>
      </c>
    </row>
    <row r="191" spans="2:5">
      <c r="B191" s="26" t="str">
        <f>Est!$A181</f>
        <v/>
      </c>
      <c r="C191" s="50" t="str">
        <f>IF($B191="","",Est!$G181)</f>
        <v/>
      </c>
      <c r="D191" s="54" t="str">
        <f t="shared" si="4"/>
        <v/>
      </c>
      <c r="E191" s="54" t="str">
        <f t="shared" si="5"/>
        <v/>
      </c>
    </row>
    <row r="192" spans="2:5">
      <c r="B192" s="26" t="str">
        <f>Est!$A182</f>
        <v/>
      </c>
      <c r="C192" s="50" t="str">
        <f>IF($B192="","",Est!$G182)</f>
        <v/>
      </c>
      <c r="D192" s="54" t="str">
        <f t="shared" si="4"/>
        <v/>
      </c>
      <c r="E192" s="54" t="str">
        <f t="shared" si="5"/>
        <v/>
      </c>
    </row>
    <row r="193" spans="2:5">
      <c r="B193" s="26" t="str">
        <f>Est!$A183</f>
        <v/>
      </c>
      <c r="C193" s="50" t="str">
        <f>IF($B193="","",Est!$G183)</f>
        <v/>
      </c>
      <c r="D193" s="54" t="str">
        <f t="shared" si="4"/>
        <v/>
      </c>
      <c r="E193" s="54" t="str">
        <f t="shared" si="5"/>
        <v/>
      </c>
    </row>
    <row r="194" spans="2:5">
      <c r="B194" s="26" t="str">
        <f>Est!$A184</f>
        <v/>
      </c>
      <c r="C194" s="50" t="str">
        <f>IF($B194="","",Est!$G184)</f>
        <v/>
      </c>
      <c r="D194" s="54" t="str">
        <f t="shared" si="4"/>
        <v/>
      </c>
      <c r="E194" s="54" t="str">
        <f t="shared" si="5"/>
        <v/>
      </c>
    </row>
    <row r="195" spans="2:5">
      <c r="B195" s="26" t="str">
        <f>Est!$A185</f>
        <v/>
      </c>
      <c r="C195" s="50" t="str">
        <f>IF($B195="","",Est!$G185)</f>
        <v/>
      </c>
      <c r="D195" s="54" t="str">
        <f t="shared" si="4"/>
        <v/>
      </c>
      <c r="E195" s="54" t="str">
        <f t="shared" si="5"/>
        <v/>
      </c>
    </row>
    <row r="196" spans="2:5">
      <c r="B196" s="26" t="str">
        <f>Est!$A186</f>
        <v/>
      </c>
      <c r="C196" s="50" t="str">
        <f>IF($B196="","",Est!$G186)</f>
        <v/>
      </c>
      <c r="D196" s="54" t="str">
        <f t="shared" si="4"/>
        <v/>
      </c>
      <c r="E196" s="54" t="str">
        <f t="shared" si="5"/>
        <v/>
      </c>
    </row>
    <row r="197" spans="2:5">
      <c r="B197" s="26" t="str">
        <f>Est!$A187</f>
        <v/>
      </c>
      <c r="C197" s="50" t="str">
        <f>IF($B197="","",Est!$G187)</f>
        <v/>
      </c>
      <c r="D197" s="54" t="str">
        <f t="shared" si="4"/>
        <v/>
      </c>
      <c r="E197" s="54" t="str">
        <f t="shared" si="5"/>
        <v/>
      </c>
    </row>
    <row r="198" spans="2:5">
      <c r="B198" s="26" t="str">
        <f>Est!$A188</f>
        <v/>
      </c>
      <c r="C198" s="50" t="str">
        <f>IF($B198="","",Est!$G188)</f>
        <v/>
      </c>
      <c r="D198" s="54" t="str">
        <f t="shared" si="4"/>
        <v/>
      </c>
      <c r="E198" s="54" t="str">
        <f t="shared" si="5"/>
        <v/>
      </c>
    </row>
    <row r="199" spans="2:5">
      <c r="B199" s="26" t="str">
        <f>Est!$A189</f>
        <v/>
      </c>
      <c r="C199" s="50" t="str">
        <f>IF($B199="","",Est!$G189)</f>
        <v/>
      </c>
      <c r="D199" s="54" t="str">
        <f t="shared" si="4"/>
        <v/>
      </c>
      <c r="E199" s="54" t="str">
        <f t="shared" si="5"/>
        <v/>
      </c>
    </row>
    <row r="200" spans="2:5">
      <c r="B200" s="26" t="str">
        <f>Est!$A190</f>
        <v/>
      </c>
      <c r="C200" s="50" t="str">
        <f>IF($B200="","",Est!$G190)</f>
        <v/>
      </c>
      <c r="D200" s="54" t="str">
        <f t="shared" si="4"/>
        <v/>
      </c>
      <c r="E200" s="54" t="str">
        <f t="shared" si="5"/>
        <v/>
      </c>
    </row>
    <row r="201" spans="2:5">
      <c r="B201" s="26" t="str">
        <f>Est!$A191</f>
        <v/>
      </c>
      <c r="C201" s="50" t="str">
        <f>IF($B201="","",Est!$G191)</f>
        <v/>
      </c>
      <c r="D201" s="54" t="str">
        <f t="shared" si="4"/>
        <v/>
      </c>
      <c r="E201" s="54" t="str">
        <f t="shared" si="5"/>
        <v/>
      </c>
    </row>
    <row r="202" spans="2:5">
      <c r="B202" s="26" t="str">
        <f>Est!$A192</f>
        <v/>
      </c>
      <c r="C202" s="50" t="str">
        <f>IF($B202="","",Est!$G192)</f>
        <v/>
      </c>
      <c r="D202" s="54" t="str">
        <f t="shared" si="4"/>
        <v/>
      </c>
      <c r="E202" s="54" t="str">
        <f t="shared" si="5"/>
        <v/>
      </c>
    </row>
    <row r="203" spans="2:5">
      <c r="B203" s="26" t="str">
        <f>Est!$A193</f>
        <v/>
      </c>
      <c r="C203" s="50" t="str">
        <f>IF($B203="","",Est!$G193)</f>
        <v/>
      </c>
      <c r="D203" s="54" t="str">
        <f t="shared" si="4"/>
        <v/>
      </c>
      <c r="E203" s="54" t="str">
        <f t="shared" si="5"/>
        <v/>
      </c>
    </row>
    <row r="204" spans="2:5">
      <c r="B204" s="26" t="str">
        <f>Est!$A194</f>
        <v/>
      </c>
      <c r="C204" s="50" t="str">
        <f>IF($B204="","",Est!$G194)</f>
        <v/>
      </c>
      <c r="D204" s="54" t="str">
        <f t="shared" si="4"/>
        <v/>
      </c>
      <c r="E204" s="54" t="str">
        <f t="shared" si="5"/>
        <v/>
      </c>
    </row>
    <row r="205" spans="2:5">
      <c r="B205" s="26" t="str">
        <f>Est!$A195</f>
        <v/>
      </c>
      <c r="C205" s="50" t="str">
        <f>IF($B205="","",Est!$G195)</f>
        <v/>
      </c>
      <c r="D205" s="54" t="str">
        <f t="shared" si="4"/>
        <v/>
      </c>
      <c r="E205" s="54" t="str">
        <f t="shared" si="5"/>
        <v/>
      </c>
    </row>
    <row r="206" spans="2:5">
      <c r="B206" s="26" t="str">
        <f>Est!$A196</f>
        <v/>
      </c>
      <c r="C206" s="50" t="str">
        <f>IF($B206="","",Est!$G196)</f>
        <v/>
      </c>
      <c r="D206" s="54" t="str">
        <f t="shared" si="4"/>
        <v/>
      </c>
      <c r="E206" s="54" t="str">
        <f t="shared" si="5"/>
        <v/>
      </c>
    </row>
    <row r="207" spans="2:5">
      <c r="B207" s="26" t="str">
        <f>Est!$A197</f>
        <v/>
      </c>
      <c r="C207" s="50" t="str">
        <f>IF($B207="","",Est!$G197)</f>
        <v/>
      </c>
      <c r="D207" s="54" t="str">
        <f t="shared" ref="D207:D216" si="6">IF(AND(ISNUMBER(C207),ISNUMBER($C$6)),C207/$C$6,"")</f>
        <v/>
      </c>
      <c r="E207" s="54" t="str">
        <f t="shared" ref="E207:E216" si="7">IF(AND(ISNUMBER(C207),ISNUMBER($C$9)),C207/$C$9*$C$10,"")</f>
        <v/>
      </c>
    </row>
    <row r="208" spans="2:5">
      <c r="B208" s="26" t="str">
        <f>Est!$A198</f>
        <v/>
      </c>
      <c r="C208" s="50" t="str">
        <f>IF($B208="","",Est!$G198)</f>
        <v/>
      </c>
      <c r="D208" s="54" t="str">
        <f t="shared" si="6"/>
        <v/>
      </c>
      <c r="E208" s="54" t="str">
        <f t="shared" si="7"/>
        <v/>
      </c>
    </row>
    <row r="209" spans="2:5">
      <c r="B209" s="26" t="str">
        <f>Est!$A199</f>
        <v/>
      </c>
      <c r="C209" s="50" t="str">
        <f>IF($B209="","",Est!$G199)</f>
        <v/>
      </c>
      <c r="D209" s="54" t="str">
        <f t="shared" si="6"/>
        <v/>
      </c>
      <c r="E209" s="54" t="str">
        <f t="shared" si="7"/>
        <v/>
      </c>
    </row>
    <row r="210" spans="2:5">
      <c r="B210" s="26" t="str">
        <f>Est!$A200</f>
        <v/>
      </c>
      <c r="C210" s="50" t="str">
        <f>IF($B210="","",Est!$G200)</f>
        <v/>
      </c>
      <c r="D210" s="54" t="str">
        <f t="shared" si="6"/>
        <v/>
      </c>
      <c r="E210" s="54" t="str">
        <f t="shared" si="7"/>
        <v/>
      </c>
    </row>
    <row r="211" spans="2:5">
      <c r="B211" s="26" t="str">
        <f>Est!$A201</f>
        <v/>
      </c>
      <c r="C211" s="50" t="str">
        <f>IF($B211="","",Est!$G201)</f>
        <v/>
      </c>
      <c r="D211" s="54" t="str">
        <f t="shared" si="6"/>
        <v/>
      </c>
      <c r="E211" s="54" t="str">
        <f t="shared" si="7"/>
        <v/>
      </c>
    </row>
    <row r="212" spans="2:5">
      <c r="B212" s="26" t="str">
        <f>Est!$A202</f>
        <v/>
      </c>
      <c r="C212" s="50" t="str">
        <f>IF($B212="","",Est!$G202)</f>
        <v/>
      </c>
      <c r="D212" s="54" t="str">
        <f t="shared" si="6"/>
        <v/>
      </c>
      <c r="E212" s="54" t="str">
        <f t="shared" si="7"/>
        <v/>
      </c>
    </row>
    <row r="213" spans="2:5">
      <c r="B213" s="26" t="str">
        <f>Est!$A203</f>
        <v/>
      </c>
      <c r="C213" s="50" t="str">
        <f>IF($B213="","",Est!$G203)</f>
        <v/>
      </c>
      <c r="D213" s="54" t="str">
        <f t="shared" si="6"/>
        <v/>
      </c>
      <c r="E213" s="54" t="str">
        <f t="shared" si="7"/>
        <v/>
      </c>
    </row>
    <row r="214" spans="2:5">
      <c r="B214" s="26" t="str">
        <f>Est!$A204</f>
        <v/>
      </c>
      <c r="C214" s="50" t="str">
        <f>IF($B214="","",Est!$G204)</f>
        <v/>
      </c>
      <c r="D214" s="54" t="str">
        <f t="shared" si="6"/>
        <v/>
      </c>
      <c r="E214" s="54" t="str">
        <f t="shared" si="7"/>
        <v/>
      </c>
    </row>
    <row r="215" spans="2:5">
      <c r="B215" s="26" t="str">
        <f>Est!$A205</f>
        <v/>
      </c>
      <c r="C215" s="50" t="str">
        <f>IF($B215="","",Est!$G205)</f>
        <v/>
      </c>
      <c r="D215" s="54" t="str">
        <f t="shared" si="6"/>
        <v/>
      </c>
      <c r="E215" s="54" t="str">
        <f t="shared" si="7"/>
        <v/>
      </c>
    </row>
    <row r="216" spans="2:5">
      <c r="B216" s="26" t="str">
        <f>Est!$A206</f>
        <v/>
      </c>
      <c r="C216" s="50" t="str">
        <f>IF($B216="","",Est!$G206)</f>
        <v/>
      </c>
      <c r="D216" s="54" t="str">
        <f t="shared" si="6"/>
        <v/>
      </c>
      <c r="E216" s="54" t="str">
        <f t="shared" si="7"/>
        <v/>
      </c>
    </row>
  </sheetData>
  <mergeCells count="2">
    <mergeCell ref="B2:E2"/>
    <mergeCell ref="B5:E5"/>
  </mergeCells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202"/>
  <sheetViews>
    <sheetView workbookViewId="0">
      <selection activeCell="B12" sqref="B12:F12"/>
    </sheetView>
  </sheetViews>
  <sheetFormatPr defaultRowHeight="12.75"/>
  <cols>
    <col min="1" max="1" width="16.28515625" style="1" customWidth="1"/>
    <col min="2" max="2" width="20.85546875" style="1" customWidth="1"/>
    <col min="3" max="3" width="14.5703125" style="1" customWidth="1"/>
    <col min="4" max="4" width="18" style="1" customWidth="1"/>
    <col min="5" max="5" width="17.28515625" style="1" customWidth="1"/>
    <col min="6" max="6" width="18" style="1" customWidth="1"/>
    <col min="7" max="16384" width="9.140625" style="1"/>
  </cols>
  <sheetData>
    <row r="1" spans="1:6" ht="18" customHeight="1">
      <c r="A1" s="131" t="s">
        <v>17</v>
      </c>
      <c r="B1" s="132"/>
      <c r="C1" s="133"/>
      <c r="D1" s="133"/>
      <c r="E1" s="133"/>
      <c r="F1" s="134"/>
    </row>
    <row r="2" spans="1:6" ht="16.5" customHeight="1">
      <c r="A2" s="19" t="s">
        <v>16</v>
      </c>
      <c r="B2" s="135" t="s">
        <v>1</v>
      </c>
      <c r="C2" s="136"/>
      <c r="D2" s="136"/>
      <c r="E2" s="136"/>
      <c r="F2" s="137"/>
    </row>
    <row r="3" spans="1:6">
      <c r="A3" s="4" t="s">
        <v>159</v>
      </c>
      <c r="B3" s="128" t="s">
        <v>168</v>
      </c>
      <c r="C3" s="129"/>
      <c r="D3" s="129"/>
      <c r="E3" s="129"/>
      <c r="F3" s="130"/>
    </row>
    <row r="4" spans="1:6">
      <c r="A4" s="4" t="s">
        <v>160</v>
      </c>
      <c r="B4" s="182" t="s">
        <v>169</v>
      </c>
      <c r="C4" s="129" t="s">
        <v>164</v>
      </c>
      <c r="D4" s="129" t="s">
        <v>164</v>
      </c>
      <c r="E4" s="129" t="s">
        <v>164</v>
      </c>
      <c r="F4" s="130" t="s">
        <v>164</v>
      </c>
    </row>
    <row r="5" spans="1:6">
      <c r="A5" s="4" t="s">
        <v>161</v>
      </c>
      <c r="B5" s="183" t="s">
        <v>170</v>
      </c>
      <c r="C5" s="129" t="s">
        <v>165</v>
      </c>
      <c r="D5" s="129" t="s">
        <v>165</v>
      </c>
      <c r="E5" s="129" t="s">
        <v>165</v>
      </c>
      <c r="F5" s="130" t="s">
        <v>165</v>
      </c>
    </row>
    <row r="6" spans="1:6">
      <c r="A6" s="4" t="s">
        <v>162</v>
      </c>
      <c r="B6" s="128" t="s">
        <v>171</v>
      </c>
      <c r="C6" s="129" t="s">
        <v>166</v>
      </c>
      <c r="D6" s="129" t="s">
        <v>166</v>
      </c>
      <c r="E6" s="129" t="s">
        <v>166</v>
      </c>
      <c r="F6" s="130" t="s">
        <v>166</v>
      </c>
    </row>
    <row r="7" spans="1:6">
      <c r="A7" s="4" t="s">
        <v>163</v>
      </c>
      <c r="B7" s="140" t="s">
        <v>172</v>
      </c>
      <c r="C7" s="129" t="s">
        <v>167</v>
      </c>
      <c r="D7" s="129" t="s">
        <v>167</v>
      </c>
      <c r="E7" s="129" t="s">
        <v>167</v>
      </c>
      <c r="F7" s="130" t="s">
        <v>167</v>
      </c>
    </row>
    <row r="8" spans="1:6">
      <c r="A8" s="42"/>
      <c r="B8" s="128"/>
      <c r="C8" s="129"/>
      <c r="D8" s="129"/>
      <c r="E8" s="129"/>
      <c r="F8" s="130"/>
    </row>
    <row r="9" spans="1:6">
      <c r="A9" s="4"/>
      <c r="B9" s="140"/>
      <c r="C9" s="129"/>
      <c r="D9" s="129"/>
      <c r="E9" s="129"/>
      <c r="F9" s="130"/>
    </row>
    <row r="10" spans="1:6">
      <c r="A10" s="4"/>
      <c r="B10" s="128"/>
      <c r="C10" s="129"/>
      <c r="D10" s="129"/>
      <c r="E10" s="129"/>
      <c r="F10" s="130"/>
    </row>
    <row r="11" spans="1:6">
      <c r="A11" s="4"/>
      <c r="B11" s="128"/>
      <c r="C11" s="129"/>
      <c r="D11" s="129"/>
      <c r="E11" s="129"/>
      <c r="F11" s="130"/>
    </row>
    <row r="12" spans="1:6">
      <c r="A12" s="4"/>
      <c r="B12" s="128"/>
      <c r="C12" s="129"/>
      <c r="D12" s="129"/>
      <c r="E12" s="129"/>
      <c r="F12" s="130"/>
    </row>
    <row r="13" spans="1:6">
      <c r="A13" s="4"/>
      <c r="B13" s="128"/>
      <c r="C13" s="129"/>
      <c r="D13" s="129"/>
      <c r="E13" s="129"/>
      <c r="F13" s="130"/>
    </row>
    <row r="14" spans="1:6">
      <c r="A14" s="4"/>
      <c r="B14" s="128"/>
      <c r="C14" s="129"/>
      <c r="D14" s="129"/>
      <c r="E14" s="129"/>
      <c r="F14" s="130"/>
    </row>
    <row r="15" spans="1:6">
      <c r="A15" s="4"/>
      <c r="B15" s="128"/>
      <c r="C15" s="129"/>
      <c r="D15" s="129"/>
      <c r="E15" s="129"/>
      <c r="F15" s="130"/>
    </row>
    <row r="16" spans="1:6">
      <c r="A16" s="4"/>
      <c r="B16" s="128"/>
      <c r="C16" s="129"/>
      <c r="D16" s="129"/>
      <c r="E16" s="129"/>
      <c r="F16" s="130"/>
    </row>
    <row r="17" spans="1:6">
      <c r="A17" s="4"/>
      <c r="B17" s="128"/>
      <c r="C17" s="129"/>
      <c r="D17" s="129"/>
      <c r="E17" s="129"/>
      <c r="F17" s="130"/>
    </row>
    <row r="18" spans="1:6">
      <c r="A18" s="4"/>
      <c r="B18" s="128"/>
      <c r="C18" s="129"/>
      <c r="D18" s="129"/>
      <c r="E18" s="129"/>
      <c r="F18" s="130"/>
    </row>
    <row r="19" spans="1:6">
      <c r="A19" s="4"/>
      <c r="B19" s="128"/>
      <c r="C19" s="129"/>
      <c r="D19" s="129"/>
      <c r="E19" s="129"/>
      <c r="F19" s="130"/>
    </row>
    <row r="20" spans="1:6">
      <c r="A20" s="4"/>
      <c r="B20" s="128"/>
      <c r="C20" s="129"/>
      <c r="D20" s="129"/>
      <c r="E20" s="129"/>
      <c r="F20" s="130"/>
    </row>
    <row r="21" spans="1:6">
      <c r="A21" s="4"/>
      <c r="B21" s="128"/>
      <c r="C21" s="129"/>
      <c r="D21" s="129"/>
      <c r="E21" s="129"/>
      <c r="F21" s="130"/>
    </row>
    <row r="22" spans="1:6">
      <c r="A22" s="4"/>
      <c r="B22" s="128"/>
      <c r="C22" s="129"/>
      <c r="D22" s="129"/>
      <c r="E22" s="129"/>
      <c r="F22" s="130"/>
    </row>
    <row r="23" spans="1:6">
      <c r="A23" s="4"/>
      <c r="B23" s="128"/>
      <c r="C23" s="129"/>
      <c r="D23" s="129"/>
      <c r="E23" s="129"/>
      <c r="F23" s="130"/>
    </row>
    <row r="24" spans="1:6">
      <c r="A24" s="4"/>
      <c r="B24" s="128"/>
      <c r="C24" s="129"/>
      <c r="D24" s="129"/>
      <c r="E24" s="129"/>
      <c r="F24" s="130"/>
    </row>
    <row r="25" spans="1:6">
      <c r="A25" s="4"/>
      <c r="B25" s="128"/>
      <c r="C25" s="129"/>
      <c r="D25" s="129"/>
      <c r="E25" s="129"/>
      <c r="F25" s="130"/>
    </row>
    <row r="26" spans="1:6">
      <c r="A26" s="4"/>
      <c r="B26" s="128"/>
      <c r="C26" s="129"/>
      <c r="D26" s="129"/>
      <c r="E26" s="129"/>
      <c r="F26" s="130"/>
    </row>
    <row r="27" spans="1:6">
      <c r="A27" s="4"/>
      <c r="B27" s="128"/>
      <c r="C27" s="129"/>
      <c r="D27" s="129"/>
      <c r="E27" s="129"/>
      <c r="F27" s="130"/>
    </row>
    <row r="28" spans="1:6">
      <c r="A28" s="4"/>
      <c r="B28" s="128"/>
      <c r="C28" s="129"/>
      <c r="D28" s="129"/>
      <c r="E28" s="129"/>
      <c r="F28" s="130"/>
    </row>
    <row r="29" spans="1:6">
      <c r="A29" s="4"/>
      <c r="B29" s="128"/>
      <c r="C29" s="129"/>
      <c r="D29" s="129"/>
      <c r="E29" s="129"/>
      <c r="F29" s="130"/>
    </row>
    <row r="30" spans="1:6">
      <c r="A30" s="4"/>
      <c r="B30" s="128"/>
      <c r="C30" s="129"/>
      <c r="D30" s="129"/>
      <c r="E30" s="129"/>
      <c r="F30" s="130"/>
    </row>
    <row r="31" spans="1:6">
      <c r="A31" s="4"/>
      <c r="B31" s="128"/>
      <c r="C31" s="129"/>
      <c r="D31" s="129"/>
      <c r="E31" s="129"/>
      <c r="F31" s="130"/>
    </row>
    <row r="32" spans="1:6">
      <c r="A32" s="4"/>
      <c r="B32" s="128"/>
      <c r="C32" s="129"/>
      <c r="D32" s="129"/>
      <c r="E32" s="129"/>
      <c r="F32" s="130"/>
    </row>
    <row r="33" spans="1:6">
      <c r="A33" s="4"/>
      <c r="B33" s="128"/>
      <c r="C33" s="129"/>
      <c r="D33" s="129"/>
      <c r="E33" s="129"/>
      <c r="F33" s="130"/>
    </row>
    <row r="34" spans="1:6">
      <c r="A34" s="4"/>
      <c r="B34" s="128"/>
      <c r="C34" s="129"/>
      <c r="D34" s="129"/>
      <c r="E34" s="129"/>
      <c r="F34" s="130"/>
    </row>
    <row r="35" spans="1:6">
      <c r="A35" s="4"/>
      <c r="B35" s="128"/>
      <c r="C35" s="129"/>
      <c r="D35" s="129"/>
      <c r="E35" s="129"/>
      <c r="F35" s="130"/>
    </row>
    <row r="36" spans="1:6">
      <c r="A36" s="4"/>
      <c r="B36" s="128"/>
      <c r="C36" s="129"/>
      <c r="D36" s="129"/>
      <c r="E36" s="129"/>
      <c r="F36" s="130"/>
    </row>
    <row r="37" spans="1:6">
      <c r="A37" s="4"/>
      <c r="B37" s="128"/>
      <c r="C37" s="129"/>
      <c r="D37" s="129"/>
      <c r="E37" s="129"/>
      <c r="F37" s="130"/>
    </row>
    <row r="38" spans="1:6">
      <c r="A38" s="4"/>
      <c r="B38" s="128"/>
      <c r="C38" s="129"/>
      <c r="D38" s="129"/>
      <c r="E38" s="129"/>
      <c r="F38" s="130"/>
    </row>
    <row r="39" spans="1:6">
      <c r="A39" s="4"/>
      <c r="B39" s="128"/>
      <c r="C39" s="129"/>
      <c r="D39" s="129"/>
      <c r="E39" s="129"/>
      <c r="F39" s="130"/>
    </row>
    <row r="40" spans="1:6">
      <c r="A40" s="4"/>
      <c r="B40" s="128"/>
      <c r="C40" s="129"/>
      <c r="D40" s="129"/>
      <c r="E40" s="129"/>
      <c r="F40" s="130"/>
    </row>
    <row r="41" spans="1:6">
      <c r="A41" s="4"/>
      <c r="B41" s="128"/>
      <c r="C41" s="129"/>
      <c r="D41" s="129"/>
      <c r="E41" s="129"/>
      <c r="F41" s="130"/>
    </row>
    <row r="42" spans="1:6">
      <c r="A42" s="4"/>
      <c r="B42" s="128"/>
      <c r="C42" s="129"/>
      <c r="D42" s="129"/>
      <c r="E42" s="129"/>
      <c r="F42" s="130"/>
    </row>
    <row r="43" spans="1:6">
      <c r="A43" s="4"/>
      <c r="B43" s="128"/>
      <c r="C43" s="129"/>
      <c r="D43" s="129"/>
      <c r="E43" s="129"/>
      <c r="F43" s="130"/>
    </row>
    <row r="44" spans="1:6">
      <c r="A44" s="4"/>
      <c r="B44" s="128"/>
      <c r="C44" s="129"/>
      <c r="D44" s="129"/>
      <c r="E44" s="129"/>
      <c r="F44" s="130"/>
    </row>
    <row r="45" spans="1:6">
      <c r="A45" s="4"/>
      <c r="B45" s="128"/>
      <c r="C45" s="129"/>
      <c r="D45" s="129"/>
      <c r="E45" s="129"/>
      <c r="F45" s="130"/>
    </row>
    <row r="46" spans="1:6">
      <c r="A46" s="4"/>
      <c r="B46" s="128"/>
      <c r="C46" s="129"/>
      <c r="D46" s="129"/>
      <c r="E46" s="129"/>
      <c r="F46" s="130"/>
    </row>
    <row r="47" spans="1:6">
      <c r="A47" s="4"/>
      <c r="B47" s="128"/>
      <c r="C47" s="129"/>
      <c r="D47" s="129"/>
      <c r="E47" s="129"/>
      <c r="F47" s="130"/>
    </row>
    <row r="48" spans="1:6">
      <c r="A48" s="4"/>
      <c r="B48" s="128"/>
      <c r="C48" s="129"/>
      <c r="D48" s="129"/>
      <c r="E48" s="129"/>
      <c r="F48" s="130"/>
    </row>
    <row r="49" spans="1:6">
      <c r="A49" s="4"/>
      <c r="B49" s="128"/>
      <c r="C49" s="129"/>
      <c r="D49" s="129"/>
      <c r="E49" s="129"/>
      <c r="F49" s="130"/>
    </row>
    <row r="50" spans="1:6">
      <c r="A50" s="4"/>
      <c r="B50" s="128"/>
      <c r="C50" s="129"/>
      <c r="D50" s="129"/>
      <c r="E50" s="129"/>
      <c r="F50" s="130"/>
    </row>
    <row r="51" spans="1:6">
      <c r="A51" s="4"/>
      <c r="B51" s="128"/>
      <c r="C51" s="129"/>
      <c r="D51" s="129"/>
      <c r="E51" s="129"/>
      <c r="F51" s="130"/>
    </row>
    <row r="52" spans="1:6">
      <c r="A52" s="4"/>
      <c r="B52" s="128"/>
      <c r="C52" s="129"/>
      <c r="D52" s="129"/>
      <c r="E52" s="129"/>
      <c r="F52" s="130"/>
    </row>
    <row r="53" spans="1:6">
      <c r="A53" s="4"/>
      <c r="B53" s="128"/>
      <c r="C53" s="129"/>
      <c r="D53" s="129"/>
      <c r="E53" s="129"/>
      <c r="F53" s="130"/>
    </row>
    <row r="54" spans="1:6">
      <c r="A54" s="4"/>
      <c r="B54" s="128"/>
      <c r="C54" s="129"/>
      <c r="D54" s="129"/>
      <c r="E54" s="129"/>
      <c r="F54" s="130"/>
    </row>
    <row r="55" spans="1:6">
      <c r="A55" s="4"/>
      <c r="B55" s="128"/>
      <c r="C55" s="129"/>
      <c r="D55" s="129"/>
      <c r="E55" s="129"/>
      <c r="F55" s="130"/>
    </row>
    <row r="56" spans="1:6">
      <c r="A56" s="4"/>
      <c r="B56" s="128"/>
      <c r="C56" s="129"/>
      <c r="D56" s="129"/>
      <c r="E56" s="129"/>
      <c r="F56" s="130"/>
    </row>
    <row r="57" spans="1:6">
      <c r="A57" s="4"/>
      <c r="B57" s="128"/>
      <c r="C57" s="129"/>
      <c r="D57" s="129"/>
      <c r="E57" s="129"/>
      <c r="F57" s="130"/>
    </row>
    <row r="58" spans="1:6">
      <c r="A58" s="4"/>
      <c r="B58" s="128"/>
      <c r="C58" s="129"/>
      <c r="D58" s="129"/>
      <c r="E58" s="129"/>
      <c r="F58" s="130"/>
    </row>
    <row r="59" spans="1:6">
      <c r="A59" s="4"/>
      <c r="B59" s="128"/>
      <c r="C59" s="129"/>
      <c r="D59" s="129"/>
      <c r="E59" s="129"/>
      <c r="F59" s="130"/>
    </row>
    <row r="60" spans="1:6">
      <c r="A60" s="4"/>
      <c r="B60" s="128"/>
      <c r="C60" s="129"/>
      <c r="D60" s="129"/>
      <c r="E60" s="129"/>
      <c r="F60" s="130"/>
    </row>
    <row r="61" spans="1:6">
      <c r="A61" s="4"/>
      <c r="B61" s="128"/>
      <c r="C61" s="129"/>
      <c r="D61" s="129"/>
      <c r="E61" s="129"/>
      <c r="F61" s="130"/>
    </row>
    <row r="62" spans="1:6">
      <c r="A62" s="4"/>
      <c r="B62" s="128"/>
      <c r="C62" s="129"/>
      <c r="D62" s="129"/>
      <c r="E62" s="129"/>
      <c r="F62" s="130"/>
    </row>
    <row r="63" spans="1:6">
      <c r="A63" s="4"/>
      <c r="B63" s="128"/>
      <c r="C63" s="129"/>
      <c r="D63" s="129"/>
      <c r="E63" s="129"/>
      <c r="F63" s="130"/>
    </row>
    <row r="64" spans="1:6">
      <c r="A64" s="4"/>
      <c r="B64" s="128"/>
      <c r="C64" s="129"/>
      <c r="D64" s="129"/>
      <c r="E64" s="129"/>
      <c r="F64" s="130"/>
    </row>
    <row r="65" spans="1:6">
      <c r="A65" s="4"/>
      <c r="B65" s="128"/>
      <c r="C65" s="129"/>
      <c r="D65" s="129"/>
      <c r="E65" s="129"/>
      <c r="F65" s="130"/>
    </row>
    <row r="66" spans="1:6">
      <c r="A66" s="4"/>
      <c r="B66" s="128"/>
      <c r="C66" s="129"/>
      <c r="D66" s="129"/>
      <c r="E66" s="129"/>
      <c r="F66" s="130"/>
    </row>
    <row r="67" spans="1:6">
      <c r="A67" s="4"/>
      <c r="B67" s="128"/>
      <c r="C67" s="129"/>
      <c r="D67" s="129"/>
      <c r="E67" s="129"/>
      <c r="F67" s="130"/>
    </row>
    <row r="68" spans="1:6">
      <c r="A68" s="4"/>
      <c r="B68" s="128"/>
      <c r="C68" s="129"/>
      <c r="D68" s="129"/>
      <c r="E68" s="129"/>
      <c r="F68" s="130"/>
    </row>
    <row r="69" spans="1:6">
      <c r="A69" s="4"/>
      <c r="B69" s="128"/>
      <c r="C69" s="129"/>
      <c r="D69" s="129"/>
      <c r="E69" s="129"/>
      <c r="F69" s="130"/>
    </row>
    <row r="70" spans="1:6">
      <c r="A70" s="4"/>
      <c r="B70" s="128"/>
      <c r="C70" s="129"/>
      <c r="D70" s="129"/>
      <c r="E70" s="129"/>
      <c r="F70" s="130"/>
    </row>
    <row r="71" spans="1:6">
      <c r="A71" s="4"/>
      <c r="B71" s="128"/>
      <c r="C71" s="129"/>
      <c r="D71" s="129"/>
      <c r="E71" s="129"/>
      <c r="F71" s="130"/>
    </row>
    <row r="72" spans="1:6">
      <c r="A72" s="4"/>
      <c r="B72" s="128"/>
      <c r="C72" s="129"/>
      <c r="D72" s="129"/>
      <c r="E72" s="129"/>
      <c r="F72" s="130"/>
    </row>
    <row r="73" spans="1:6">
      <c r="A73" s="4"/>
      <c r="B73" s="128"/>
      <c r="C73" s="129"/>
      <c r="D73" s="129"/>
      <c r="E73" s="129"/>
      <c r="F73" s="130"/>
    </row>
    <row r="74" spans="1:6">
      <c r="A74" s="4"/>
      <c r="B74" s="128"/>
      <c r="C74" s="129"/>
      <c r="D74" s="129"/>
      <c r="E74" s="129"/>
      <c r="F74" s="130"/>
    </row>
    <row r="75" spans="1:6">
      <c r="A75" s="4"/>
      <c r="B75" s="128"/>
      <c r="C75" s="129"/>
      <c r="D75" s="129"/>
      <c r="E75" s="129"/>
      <c r="F75" s="130"/>
    </row>
    <row r="76" spans="1:6">
      <c r="A76" s="4"/>
      <c r="B76" s="128"/>
      <c r="C76" s="129"/>
      <c r="D76" s="129"/>
      <c r="E76" s="129"/>
      <c r="F76" s="130"/>
    </row>
    <row r="77" spans="1:6">
      <c r="A77" s="4"/>
      <c r="B77" s="128"/>
      <c r="C77" s="129"/>
      <c r="D77" s="129"/>
      <c r="E77" s="129"/>
      <c r="F77" s="130"/>
    </row>
    <row r="78" spans="1:6">
      <c r="A78" s="4"/>
      <c r="B78" s="128"/>
      <c r="C78" s="129"/>
      <c r="D78" s="129"/>
      <c r="E78" s="129"/>
      <c r="F78" s="130"/>
    </row>
    <row r="79" spans="1:6">
      <c r="A79" s="4"/>
      <c r="B79" s="128"/>
      <c r="C79" s="129"/>
      <c r="D79" s="129"/>
      <c r="E79" s="129"/>
      <c r="F79" s="130"/>
    </row>
    <row r="80" spans="1:6">
      <c r="A80" s="4"/>
      <c r="B80" s="128"/>
      <c r="C80" s="129"/>
      <c r="D80" s="129"/>
      <c r="E80" s="129"/>
      <c r="F80" s="130"/>
    </row>
    <row r="81" spans="1:6">
      <c r="A81" s="4"/>
      <c r="B81" s="128"/>
      <c r="C81" s="129"/>
      <c r="D81" s="129"/>
      <c r="E81" s="129"/>
      <c r="F81" s="130"/>
    </row>
    <row r="82" spans="1:6">
      <c r="A82" s="4"/>
      <c r="B82" s="128"/>
      <c r="C82" s="129"/>
      <c r="D82" s="129"/>
      <c r="E82" s="129"/>
      <c r="F82" s="130"/>
    </row>
    <row r="83" spans="1:6">
      <c r="A83" s="4"/>
      <c r="B83" s="128"/>
      <c r="C83" s="129"/>
      <c r="D83" s="129"/>
      <c r="E83" s="129"/>
      <c r="F83" s="130"/>
    </row>
    <row r="84" spans="1:6">
      <c r="A84" s="4"/>
      <c r="B84" s="128"/>
      <c r="C84" s="129"/>
      <c r="D84" s="129"/>
      <c r="E84" s="129"/>
      <c r="F84" s="130"/>
    </row>
    <row r="85" spans="1:6">
      <c r="A85" s="4"/>
      <c r="B85" s="128"/>
      <c r="C85" s="129"/>
      <c r="D85" s="129"/>
      <c r="E85" s="129"/>
      <c r="F85" s="130"/>
    </row>
    <row r="86" spans="1:6">
      <c r="A86" s="4"/>
      <c r="B86" s="128"/>
      <c r="C86" s="129"/>
      <c r="D86" s="129"/>
      <c r="E86" s="129"/>
      <c r="F86" s="130"/>
    </row>
    <row r="87" spans="1:6">
      <c r="A87" s="4"/>
      <c r="B87" s="128"/>
      <c r="C87" s="129"/>
      <c r="D87" s="129"/>
      <c r="E87" s="129"/>
      <c r="F87" s="130"/>
    </row>
    <row r="88" spans="1:6">
      <c r="A88" s="4"/>
      <c r="B88" s="128"/>
      <c r="C88" s="129"/>
      <c r="D88" s="129"/>
      <c r="E88" s="129"/>
      <c r="F88" s="130"/>
    </row>
    <row r="89" spans="1:6">
      <c r="A89" s="4"/>
      <c r="B89" s="128"/>
      <c r="C89" s="129"/>
      <c r="D89" s="129"/>
      <c r="E89" s="129"/>
      <c r="F89" s="130"/>
    </row>
    <row r="90" spans="1:6">
      <c r="A90" s="4"/>
      <c r="B90" s="128"/>
      <c r="C90" s="129"/>
      <c r="D90" s="129"/>
      <c r="E90" s="129"/>
      <c r="F90" s="130"/>
    </row>
    <row r="91" spans="1:6">
      <c r="A91" s="4"/>
      <c r="B91" s="128"/>
      <c r="C91" s="129"/>
      <c r="D91" s="129"/>
      <c r="E91" s="129"/>
      <c r="F91" s="130"/>
    </row>
    <row r="92" spans="1:6">
      <c r="A92" s="4"/>
      <c r="B92" s="128"/>
      <c r="C92" s="129"/>
      <c r="D92" s="129"/>
      <c r="E92" s="129"/>
      <c r="F92" s="130"/>
    </row>
    <row r="93" spans="1:6">
      <c r="A93" s="4"/>
      <c r="B93" s="128"/>
      <c r="C93" s="129"/>
      <c r="D93" s="129"/>
      <c r="E93" s="129"/>
      <c r="F93" s="130"/>
    </row>
    <row r="94" spans="1:6">
      <c r="A94" s="4"/>
      <c r="B94" s="128"/>
      <c r="C94" s="129"/>
      <c r="D94" s="129"/>
      <c r="E94" s="129"/>
      <c r="F94" s="130"/>
    </row>
    <row r="95" spans="1:6">
      <c r="A95" s="4"/>
      <c r="B95" s="128"/>
      <c r="C95" s="129"/>
      <c r="D95" s="129"/>
      <c r="E95" s="129"/>
      <c r="F95" s="130"/>
    </row>
    <row r="96" spans="1:6">
      <c r="A96" s="4"/>
      <c r="B96" s="128"/>
      <c r="C96" s="129"/>
      <c r="D96" s="129"/>
      <c r="E96" s="129"/>
      <c r="F96" s="130"/>
    </row>
    <row r="97" spans="1:6">
      <c r="A97" s="4"/>
      <c r="B97" s="128"/>
      <c r="C97" s="129"/>
      <c r="D97" s="129"/>
      <c r="E97" s="129"/>
      <c r="F97" s="130"/>
    </row>
    <row r="98" spans="1:6">
      <c r="A98" s="4"/>
      <c r="B98" s="128"/>
      <c r="C98" s="129"/>
      <c r="D98" s="129"/>
      <c r="E98" s="129"/>
      <c r="F98" s="130"/>
    </row>
    <row r="99" spans="1:6">
      <c r="A99" s="4"/>
      <c r="B99" s="128"/>
      <c r="C99" s="129"/>
      <c r="D99" s="129"/>
      <c r="E99" s="129"/>
      <c r="F99" s="130"/>
    </row>
    <row r="100" spans="1:6">
      <c r="A100" s="4"/>
      <c r="B100" s="128"/>
      <c r="C100" s="129"/>
      <c r="D100" s="129"/>
      <c r="E100" s="129"/>
      <c r="F100" s="130"/>
    </row>
    <row r="101" spans="1:6">
      <c r="A101" s="4"/>
      <c r="B101" s="128"/>
      <c r="C101" s="129"/>
      <c r="D101" s="129"/>
      <c r="E101" s="129"/>
      <c r="F101" s="130"/>
    </row>
    <row r="102" spans="1:6">
      <c r="A102" s="4"/>
      <c r="B102" s="128"/>
      <c r="C102" s="129"/>
      <c r="D102" s="129"/>
      <c r="E102" s="129"/>
      <c r="F102" s="130"/>
    </row>
    <row r="103" spans="1:6">
      <c r="A103" s="4"/>
      <c r="B103" s="128"/>
      <c r="C103" s="129"/>
      <c r="D103" s="129"/>
      <c r="E103" s="129"/>
      <c r="F103" s="130"/>
    </row>
    <row r="104" spans="1:6">
      <c r="A104" s="4"/>
      <c r="B104" s="128"/>
      <c r="C104" s="129"/>
      <c r="D104" s="129"/>
      <c r="E104" s="129"/>
      <c r="F104" s="130"/>
    </row>
    <row r="105" spans="1:6">
      <c r="A105" s="4"/>
      <c r="B105" s="128"/>
      <c r="C105" s="129"/>
      <c r="D105" s="129"/>
      <c r="E105" s="129"/>
      <c r="F105" s="130"/>
    </row>
    <row r="106" spans="1:6">
      <c r="A106" s="4"/>
      <c r="B106" s="128"/>
      <c r="C106" s="129"/>
      <c r="D106" s="129"/>
      <c r="E106" s="129"/>
      <c r="F106" s="130"/>
    </row>
    <row r="107" spans="1:6">
      <c r="A107" s="4"/>
      <c r="B107" s="128"/>
      <c r="C107" s="129"/>
      <c r="D107" s="129"/>
      <c r="E107" s="129"/>
      <c r="F107" s="130"/>
    </row>
    <row r="108" spans="1:6">
      <c r="A108" s="4"/>
      <c r="B108" s="128"/>
      <c r="C108" s="129"/>
      <c r="D108" s="129"/>
      <c r="E108" s="129"/>
      <c r="F108" s="130"/>
    </row>
    <row r="109" spans="1:6">
      <c r="A109" s="4"/>
      <c r="B109" s="128"/>
      <c r="C109" s="129"/>
      <c r="D109" s="129"/>
      <c r="E109" s="129"/>
      <c r="F109" s="130"/>
    </row>
    <row r="110" spans="1:6">
      <c r="A110" s="4"/>
      <c r="B110" s="128"/>
      <c r="C110" s="129"/>
      <c r="D110" s="129"/>
      <c r="E110" s="129"/>
      <c r="F110" s="130"/>
    </row>
    <row r="111" spans="1:6">
      <c r="A111" s="4"/>
      <c r="B111" s="128"/>
      <c r="C111" s="129"/>
      <c r="D111" s="129"/>
      <c r="E111" s="129"/>
      <c r="F111" s="130"/>
    </row>
    <row r="112" spans="1:6">
      <c r="A112" s="4"/>
      <c r="B112" s="128"/>
      <c r="C112" s="129"/>
      <c r="D112" s="129"/>
      <c r="E112" s="129"/>
      <c r="F112" s="130"/>
    </row>
    <row r="113" spans="1:6">
      <c r="A113" s="4"/>
      <c r="B113" s="128"/>
      <c r="C113" s="129"/>
      <c r="D113" s="129"/>
      <c r="E113" s="129"/>
      <c r="F113" s="130"/>
    </row>
    <row r="114" spans="1:6">
      <c r="A114" s="4"/>
      <c r="B114" s="128"/>
      <c r="C114" s="129"/>
      <c r="D114" s="129"/>
      <c r="E114" s="129"/>
      <c r="F114" s="130"/>
    </row>
    <row r="115" spans="1:6">
      <c r="A115" s="4"/>
      <c r="B115" s="128"/>
      <c r="C115" s="129"/>
      <c r="D115" s="129"/>
      <c r="E115" s="129"/>
      <c r="F115" s="130"/>
    </row>
    <row r="116" spans="1:6">
      <c r="A116" s="4"/>
      <c r="B116" s="128"/>
      <c r="C116" s="129"/>
      <c r="D116" s="129"/>
      <c r="E116" s="129"/>
      <c r="F116" s="130"/>
    </row>
    <row r="117" spans="1:6">
      <c r="A117" s="4"/>
      <c r="B117" s="128"/>
      <c r="C117" s="129"/>
      <c r="D117" s="129"/>
      <c r="E117" s="129"/>
      <c r="F117" s="130"/>
    </row>
    <row r="118" spans="1:6">
      <c r="A118" s="4"/>
      <c r="B118" s="128"/>
      <c r="C118" s="129"/>
      <c r="D118" s="129"/>
      <c r="E118" s="129"/>
      <c r="F118" s="130"/>
    </row>
    <row r="119" spans="1:6">
      <c r="A119" s="4"/>
      <c r="B119" s="128"/>
      <c r="C119" s="129"/>
      <c r="D119" s="129"/>
      <c r="E119" s="129"/>
      <c r="F119" s="130"/>
    </row>
    <row r="120" spans="1:6">
      <c r="A120" s="4"/>
      <c r="B120" s="128"/>
      <c r="C120" s="129"/>
      <c r="D120" s="129"/>
      <c r="E120" s="129"/>
      <c r="F120" s="130"/>
    </row>
    <row r="121" spans="1:6">
      <c r="A121" s="4"/>
      <c r="B121" s="128"/>
      <c r="C121" s="129"/>
      <c r="D121" s="129"/>
      <c r="E121" s="129"/>
      <c r="F121" s="130"/>
    </row>
    <row r="122" spans="1:6">
      <c r="A122" s="4"/>
      <c r="B122" s="128"/>
      <c r="C122" s="129"/>
      <c r="D122" s="129"/>
      <c r="E122" s="129"/>
      <c r="F122" s="130"/>
    </row>
    <row r="123" spans="1:6">
      <c r="A123" s="4"/>
      <c r="B123" s="128"/>
      <c r="C123" s="129"/>
      <c r="D123" s="129"/>
      <c r="E123" s="129"/>
      <c r="F123" s="130"/>
    </row>
    <row r="124" spans="1:6">
      <c r="A124" s="4"/>
      <c r="B124" s="128"/>
      <c r="C124" s="129"/>
      <c r="D124" s="129"/>
      <c r="E124" s="129"/>
      <c r="F124" s="130"/>
    </row>
    <row r="125" spans="1:6">
      <c r="A125" s="4"/>
      <c r="B125" s="128"/>
      <c r="C125" s="129"/>
      <c r="D125" s="129"/>
      <c r="E125" s="129"/>
      <c r="F125" s="130"/>
    </row>
    <row r="126" spans="1:6">
      <c r="A126" s="4"/>
      <c r="B126" s="128"/>
      <c r="C126" s="129"/>
      <c r="D126" s="129"/>
      <c r="E126" s="129"/>
      <c r="F126" s="130"/>
    </row>
    <row r="127" spans="1:6">
      <c r="A127" s="4"/>
      <c r="B127" s="128"/>
      <c r="C127" s="129"/>
      <c r="D127" s="129"/>
      <c r="E127" s="129"/>
      <c r="F127" s="130"/>
    </row>
    <row r="128" spans="1:6">
      <c r="A128" s="4"/>
      <c r="B128" s="128"/>
      <c r="C128" s="129"/>
      <c r="D128" s="129"/>
      <c r="E128" s="129"/>
      <c r="F128" s="130"/>
    </row>
    <row r="129" spans="1:6">
      <c r="A129" s="4"/>
      <c r="B129" s="128"/>
      <c r="C129" s="129"/>
      <c r="D129" s="129"/>
      <c r="E129" s="129"/>
      <c r="F129" s="130"/>
    </row>
    <row r="130" spans="1:6">
      <c r="A130" s="4"/>
      <c r="B130" s="128"/>
      <c r="C130" s="129"/>
      <c r="D130" s="129"/>
      <c r="E130" s="129"/>
      <c r="F130" s="130"/>
    </row>
    <row r="131" spans="1:6">
      <c r="A131" s="4"/>
      <c r="B131" s="128"/>
      <c r="C131" s="129"/>
      <c r="D131" s="129"/>
      <c r="E131" s="129"/>
      <c r="F131" s="130"/>
    </row>
    <row r="132" spans="1:6">
      <c r="A132" s="4"/>
      <c r="B132" s="128"/>
      <c r="C132" s="129"/>
      <c r="D132" s="129"/>
      <c r="E132" s="129"/>
      <c r="F132" s="130"/>
    </row>
    <row r="133" spans="1:6">
      <c r="A133" s="4"/>
      <c r="B133" s="128"/>
      <c r="C133" s="129"/>
      <c r="D133" s="129"/>
      <c r="E133" s="129"/>
      <c r="F133" s="130"/>
    </row>
    <row r="134" spans="1:6">
      <c r="A134" s="4"/>
      <c r="B134" s="128"/>
      <c r="C134" s="129"/>
      <c r="D134" s="129"/>
      <c r="E134" s="129"/>
      <c r="F134" s="130"/>
    </row>
    <row r="135" spans="1:6">
      <c r="A135" s="4"/>
      <c r="B135" s="128"/>
      <c r="C135" s="129"/>
      <c r="D135" s="129"/>
      <c r="E135" s="129"/>
      <c r="F135" s="130"/>
    </row>
    <row r="136" spans="1:6">
      <c r="A136" s="4"/>
      <c r="B136" s="128"/>
      <c r="C136" s="129"/>
      <c r="D136" s="129"/>
      <c r="E136" s="129"/>
      <c r="F136" s="130"/>
    </row>
    <row r="137" spans="1:6">
      <c r="A137" s="4"/>
      <c r="B137" s="128"/>
      <c r="C137" s="129"/>
      <c r="D137" s="129"/>
      <c r="E137" s="129"/>
      <c r="F137" s="130"/>
    </row>
    <row r="138" spans="1:6">
      <c r="A138" s="4"/>
      <c r="B138" s="128"/>
      <c r="C138" s="129"/>
      <c r="D138" s="129"/>
      <c r="E138" s="129"/>
      <c r="F138" s="130"/>
    </row>
    <row r="139" spans="1:6">
      <c r="A139" s="4"/>
      <c r="B139" s="128"/>
      <c r="C139" s="129"/>
      <c r="D139" s="129"/>
      <c r="E139" s="129"/>
      <c r="F139" s="130"/>
    </row>
    <row r="140" spans="1:6">
      <c r="A140" s="4"/>
      <c r="B140" s="128"/>
      <c r="C140" s="129"/>
      <c r="D140" s="129"/>
      <c r="E140" s="129"/>
      <c r="F140" s="130"/>
    </row>
    <row r="141" spans="1:6">
      <c r="A141" s="4"/>
      <c r="B141" s="128"/>
      <c r="C141" s="129"/>
      <c r="D141" s="129"/>
      <c r="E141" s="129"/>
      <c r="F141" s="130"/>
    </row>
    <row r="142" spans="1:6">
      <c r="A142" s="4"/>
      <c r="B142" s="128"/>
      <c r="C142" s="129"/>
      <c r="D142" s="129"/>
      <c r="E142" s="129"/>
      <c r="F142" s="130"/>
    </row>
    <row r="143" spans="1:6">
      <c r="A143" s="4"/>
      <c r="B143" s="128"/>
      <c r="C143" s="129"/>
      <c r="D143" s="129"/>
      <c r="E143" s="129"/>
      <c r="F143" s="130"/>
    </row>
    <row r="144" spans="1:6">
      <c r="A144" s="4"/>
      <c r="B144" s="128"/>
      <c r="C144" s="129"/>
      <c r="D144" s="129"/>
      <c r="E144" s="129"/>
      <c r="F144" s="130"/>
    </row>
    <row r="145" spans="1:6">
      <c r="A145" s="4"/>
      <c r="B145" s="128"/>
      <c r="C145" s="129"/>
      <c r="D145" s="129"/>
      <c r="E145" s="129"/>
      <c r="F145" s="130"/>
    </row>
    <row r="146" spans="1:6">
      <c r="A146" s="4"/>
      <c r="B146" s="128"/>
      <c r="C146" s="129"/>
      <c r="D146" s="129"/>
      <c r="E146" s="129"/>
      <c r="F146" s="130"/>
    </row>
    <row r="147" spans="1:6">
      <c r="A147" s="4"/>
      <c r="B147" s="128"/>
      <c r="C147" s="129"/>
      <c r="D147" s="129"/>
      <c r="E147" s="129"/>
      <c r="F147" s="130"/>
    </row>
    <row r="148" spans="1:6">
      <c r="A148" s="4"/>
      <c r="B148" s="128"/>
      <c r="C148" s="129"/>
      <c r="D148" s="129"/>
      <c r="E148" s="129"/>
      <c r="F148" s="130"/>
    </row>
    <row r="149" spans="1:6">
      <c r="A149" s="4"/>
      <c r="B149" s="128"/>
      <c r="C149" s="129"/>
      <c r="D149" s="129"/>
      <c r="E149" s="129"/>
      <c r="F149" s="130"/>
    </row>
    <row r="150" spans="1:6">
      <c r="A150" s="4"/>
      <c r="B150" s="128"/>
      <c r="C150" s="129"/>
      <c r="D150" s="129"/>
      <c r="E150" s="129"/>
      <c r="F150" s="130"/>
    </row>
    <row r="151" spans="1:6">
      <c r="A151" s="4"/>
      <c r="B151" s="128"/>
      <c r="C151" s="129"/>
      <c r="D151" s="129"/>
      <c r="E151" s="129"/>
      <c r="F151" s="130"/>
    </row>
    <row r="152" spans="1:6">
      <c r="A152" s="4"/>
      <c r="B152" s="128"/>
      <c r="C152" s="129"/>
      <c r="D152" s="129"/>
      <c r="E152" s="129"/>
      <c r="F152" s="130"/>
    </row>
    <row r="153" spans="1:6">
      <c r="A153" s="4"/>
      <c r="B153" s="128"/>
      <c r="C153" s="129"/>
      <c r="D153" s="129"/>
      <c r="E153" s="129"/>
      <c r="F153" s="130"/>
    </row>
    <row r="154" spans="1:6">
      <c r="A154" s="4"/>
      <c r="B154" s="128"/>
      <c r="C154" s="129"/>
      <c r="D154" s="129"/>
      <c r="E154" s="129"/>
      <c r="F154" s="130"/>
    </row>
    <row r="155" spans="1:6">
      <c r="A155" s="4"/>
      <c r="B155" s="128"/>
      <c r="C155" s="129"/>
      <c r="D155" s="129"/>
      <c r="E155" s="129"/>
      <c r="F155" s="130"/>
    </row>
    <row r="156" spans="1:6">
      <c r="A156" s="4"/>
      <c r="B156" s="128"/>
      <c r="C156" s="129"/>
      <c r="D156" s="129"/>
      <c r="E156" s="129"/>
      <c r="F156" s="130"/>
    </row>
    <row r="157" spans="1:6">
      <c r="A157" s="4"/>
      <c r="B157" s="128"/>
      <c r="C157" s="129"/>
      <c r="D157" s="129"/>
      <c r="E157" s="129"/>
      <c r="F157" s="130"/>
    </row>
    <row r="158" spans="1:6">
      <c r="A158" s="4"/>
      <c r="B158" s="128"/>
      <c r="C158" s="129"/>
      <c r="D158" s="129"/>
      <c r="E158" s="129"/>
      <c r="F158" s="130"/>
    </row>
    <row r="159" spans="1:6">
      <c r="A159" s="4"/>
      <c r="B159" s="128"/>
      <c r="C159" s="129"/>
      <c r="D159" s="129"/>
      <c r="E159" s="129"/>
      <c r="F159" s="130"/>
    </row>
    <row r="160" spans="1:6">
      <c r="A160" s="4"/>
      <c r="B160" s="128"/>
      <c r="C160" s="129"/>
      <c r="D160" s="129"/>
      <c r="E160" s="129"/>
      <c r="F160" s="130"/>
    </row>
    <row r="161" spans="1:6">
      <c r="A161" s="4"/>
      <c r="B161" s="128"/>
      <c r="C161" s="129"/>
      <c r="D161" s="129"/>
      <c r="E161" s="129"/>
      <c r="F161" s="130"/>
    </row>
    <row r="162" spans="1:6">
      <c r="A162" s="4"/>
      <c r="B162" s="128"/>
      <c r="C162" s="129"/>
      <c r="D162" s="129"/>
      <c r="E162" s="129"/>
      <c r="F162" s="130"/>
    </row>
    <row r="163" spans="1:6">
      <c r="A163" s="4"/>
      <c r="B163" s="128"/>
      <c r="C163" s="129"/>
      <c r="D163" s="129"/>
      <c r="E163" s="129"/>
      <c r="F163" s="130"/>
    </row>
    <row r="164" spans="1:6">
      <c r="A164" s="4"/>
      <c r="B164" s="128"/>
      <c r="C164" s="129"/>
      <c r="D164" s="129"/>
      <c r="E164" s="129"/>
      <c r="F164" s="130"/>
    </row>
    <row r="165" spans="1:6">
      <c r="A165" s="4"/>
      <c r="B165" s="128"/>
      <c r="C165" s="129"/>
      <c r="D165" s="129"/>
      <c r="E165" s="129"/>
      <c r="F165" s="130"/>
    </row>
    <row r="166" spans="1:6">
      <c r="A166" s="4"/>
      <c r="B166" s="128"/>
      <c r="C166" s="129"/>
      <c r="D166" s="129"/>
      <c r="E166" s="129"/>
      <c r="F166" s="130"/>
    </row>
    <row r="167" spans="1:6">
      <c r="A167" s="4"/>
      <c r="B167" s="128"/>
      <c r="C167" s="129"/>
      <c r="D167" s="129"/>
      <c r="E167" s="129"/>
      <c r="F167" s="130"/>
    </row>
    <row r="168" spans="1:6">
      <c r="A168" s="4"/>
      <c r="B168" s="128"/>
      <c r="C168" s="129"/>
      <c r="D168" s="129"/>
      <c r="E168" s="129"/>
      <c r="F168" s="130"/>
    </row>
    <row r="169" spans="1:6">
      <c r="A169" s="4"/>
      <c r="B169" s="128"/>
      <c r="C169" s="129"/>
      <c r="D169" s="129"/>
      <c r="E169" s="129"/>
      <c r="F169" s="130"/>
    </row>
    <row r="170" spans="1:6">
      <c r="A170" s="4"/>
      <c r="B170" s="128"/>
      <c r="C170" s="129"/>
      <c r="D170" s="129"/>
      <c r="E170" s="129"/>
      <c r="F170" s="130"/>
    </row>
    <row r="171" spans="1:6">
      <c r="A171" s="4"/>
      <c r="B171" s="128"/>
      <c r="C171" s="129"/>
      <c r="D171" s="129"/>
      <c r="E171" s="129"/>
      <c r="F171" s="130"/>
    </row>
    <row r="172" spans="1:6">
      <c r="A172" s="4"/>
      <c r="B172" s="128"/>
      <c r="C172" s="129"/>
      <c r="D172" s="129"/>
      <c r="E172" s="129"/>
      <c r="F172" s="130"/>
    </row>
    <row r="173" spans="1:6">
      <c r="A173" s="4"/>
      <c r="B173" s="128"/>
      <c r="C173" s="129"/>
      <c r="D173" s="129"/>
      <c r="E173" s="129"/>
      <c r="F173" s="130"/>
    </row>
    <row r="174" spans="1:6">
      <c r="A174" s="4"/>
      <c r="B174" s="128"/>
      <c r="C174" s="129"/>
      <c r="D174" s="129"/>
      <c r="E174" s="129"/>
      <c r="F174" s="130"/>
    </row>
    <row r="175" spans="1:6">
      <c r="A175" s="4"/>
      <c r="B175" s="128"/>
      <c r="C175" s="129"/>
      <c r="D175" s="129"/>
      <c r="E175" s="129"/>
      <c r="F175" s="130"/>
    </row>
    <row r="176" spans="1:6">
      <c r="A176" s="4"/>
      <c r="B176" s="128"/>
      <c r="C176" s="129"/>
      <c r="D176" s="129"/>
      <c r="E176" s="129"/>
      <c r="F176" s="130"/>
    </row>
    <row r="177" spans="1:6">
      <c r="A177" s="4"/>
      <c r="B177" s="128"/>
      <c r="C177" s="129"/>
      <c r="D177" s="129"/>
      <c r="E177" s="129"/>
      <c r="F177" s="130"/>
    </row>
    <row r="178" spans="1:6">
      <c r="A178" s="4"/>
      <c r="B178" s="128"/>
      <c r="C178" s="129"/>
      <c r="D178" s="129"/>
      <c r="E178" s="129"/>
      <c r="F178" s="130"/>
    </row>
    <row r="179" spans="1:6">
      <c r="A179" s="4"/>
      <c r="B179" s="128"/>
      <c r="C179" s="129"/>
      <c r="D179" s="129"/>
      <c r="E179" s="129"/>
      <c r="F179" s="130"/>
    </row>
    <row r="180" spans="1:6">
      <c r="A180" s="4"/>
      <c r="B180" s="128"/>
      <c r="C180" s="129"/>
      <c r="D180" s="129"/>
      <c r="E180" s="129"/>
      <c r="F180" s="130"/>
    </row>
    <row r="181" spans="1:6">
      <c r="A181" s="4"/>
      <c r="B181" s="128"/>
      <c r="C181" s="129"/>
      <c r="D181" s="129"/>
      <c r="E181" s="129"/>
      <c r="F181" s="130"/>
    </row>
    <row r="182" spans="1:6">
      <c r="A182" s="4"/>
      <c r="B182" s="128"/>
      <c r="C182" s="129"/>
      <c r="D182" s="129"/>
      <c r="E182" s="129"/>
      <c r="F182" s="130"/>
    </row>
    <row r="183" spans="1:6">
      <c r="A183" s="4"/>
      <c r="B183" s="128"/>
      <c r="C183" s="129"/>
      <c r="D183" s="129"/>
      <c r="E183" s="129"/>
      <c r="F183" s="130"/>
    </row>
    <row r="184" spans="1:6">
      <c r="A184" s="4"/>
      <c r="B184" s="128"/>
      <c r="C184" s="129"/>
      <c r="D184" s="129"/>
      <c r="E184" s="129"/>
      <c r="F184" s="130"/>
    </row>
    <row r="185" spans="1:6">
      <c r="A185" s="4"/>
      <c r="B185" s="128"/>
      <c r="C185" s="129"/>
      <c r="D185" s="129"/>
      <c r="E185" s="129"/>
      <c r="F185" s="130"/>
    </row>
    <row r="186" spans="1:6">
      <c r="A186" s="4"/>
      <c r="B186" s="128"/>
      <c r="C186" s="129"/>
      <c r="D186" s="129"/>
      <c r="E186" s="129"/>
      <c r="F186" s="130"/>
    </row>
    <row r="187" spans="1:6">
      <c r="A187" s="4"/>
      <c r="B187" s="128"/>
      <c r="C187" s="129"/>
      <c r="D187" s="129"/>
      <c r="E187" s="129"/>
      <c r="F187" s="130"/>
    </row>
    <row r="188" spans="1:6">
      <c r="A188" s="4"/>
      <c r="B188" s="128"/>
      <c r="C188" s="129"/>
      <c r="D188" s="129"/>
      <c r="E188" s="129"/>
      <c r="F188" s="130"/>
    </row>
    <row r="189" spans="1:6">
      <c r="A189" s="4"/>
      <c r="B189" s="128"/>
      <c r="C189" s="129"/>
      <c r="D189" s="129"/>
      <c r="E189" s="129"/>
      <c r="F189" s="130"/>
    </row>
    <row r="190" spans="1:6">
      <c r="A190" s="4"/>
      <c r="B190" s="128"/>
      <c r="C190" s="129"/>
      <c r="D190" s="129"/>
      <c r="E190" s="129"/>
      <c r="F190" s="130"/>
    </row>
    <row r="191" spans="1:6">
      <c r="A191" s="4"/>
      <c r="B191" s="128"/>
      <c r="C191" s="129"/>
      <c r="D191" s="129"/>
      <c r="E191" s="129"/>
      <c r="F191" s="130"/>
    </row>
    <row r="192" spans="1:6">
      <c r="A192" s="4"/>
      <c r="B192" s="128"/>
      <c r="C192" s="129"/>
      <c r="D192" s="129"/>
      <c r="E192" s="129"/>
      <c r="F192" s="130"/>
    </row>
    <row r="193" spans="1:6">
      <c r="A193" s="4"/>
      <c r="B193" s="128"/>
      <c r="C193" s="129"/>
      <c r="D193" s="129"/>
      <c r="E193" s="129"/>
      <c r="F193" s="130"/>
    </row>
    <row r="194" spans="1:6">
      <c r="A194" s="4"/>
      <c r="B194" s="128"/>
      <c r="C194" s="129"/>
      <c r="D194" s="129"/>
      <c r="E194" s="129"/>
      <c r="F194" s="130"/>
    </row>
    <row r="195" spans="1:6">
      <c r="A195" s="4"/>
      <c r="B195" s="128"/>
      <c r="C195" s="129"/>
      <c r="D195" s="129"/>
      <c r="E195" s="129"/>
      <c r="F195" s="130"/>
    </row>
    <row r="196" spans="1:6">
      <c r="A196" s="4"/>
      <c r="B196" s="128"/>
      <c r="C196" s="129"/>
      <c r="D196" s="129"/>
      <c r="E196" s="129"/>
      <c r="F196" s="130"/>
    </row>
    <row r="197" spans="1:6">
      <c r="A197" s="4"/>
      <c r="B197" s="128"/>
      <c r="C197" s="129"/>
      <c r="D197" s="129"/>
      <c r="E197" s="129"/>
      <c r="F197" s="130"/>
    </row>
    <row r="198" spans="1:6">
      <c r="A198" s="4"/>
      <c r="B198" s="128"/>
      <c r="C198" s="129"/>
      <c r="D198" s="129"/>
      <c r="E198" s="129"/>
      <c r="F198" s="130"/>
    </row>
    <row r="199" spans="1:6">
      <c r="A199" s="4"/>
      <c r="B199" s="128"/>
      <c r="C199" s="129"/>
      <c r="D199" s="129"/>
      <c r="E199" s="129"/>
      <c r="F199" s="130"/>
    </row>
    <row r="200" spans="1:6">
      <c r="A200" s="4"/>
      <c r="B200" s="128"/>
      <c r="C200" s="129"/>
      <c r="D200" s="129"/>
      <c r="E200" s="129"/>
      <c r="F200" s="130"/>
    </row>
    <row r="201" spans="1:6">
      <c r="A201" s="4"/>
      <c r="B201" s="128"/>
      <c r="C201" s="129"/>
      <c r="D201" s="129"/>
      <c r="E201" s="129"/>
      <c r="F201" s="130"/>
    </row>
    <row r="202" spans="1:6">
      <c r="A202" s="4"/>
      <c r="B202" s="128"/>
      <c r="C202" s="129"/>
      <c r="D202" s="129"/>
      <c r="E202" s="129"/>
      <c r="F202" s="130"/>
    </row>
  </sheetData>
  <mergeCells count="202">
    <mergeCell ref="B199:F199"/>
    <mergeCell ref="B200:F200"/>
    <mergeCell ref="B201:F201"/>
    <mergeCell ref="B202:F202"/>
    <mergeCell ref="B193:F193"/>
    <mergeCell ref="B194:F194"/>
    <mergeCell ref="B195:F195"/>
    <mergeCell ref="B196:F196"/>
    <mergeCell ref="B197:F197"/>
    <mergeCell ref="B198:F198"/>
    <mergeCell ref="B187:F187"/>
    <mergeCell ref="B188:F188"/>
    <mergeCell ref="B189:F189"/>
    <mergeCell ref="B190:F190"/>
    <mergeCell ref="B191:F191"/>
    <mergeCell ref="B192:F192"/>
    <mergeCell ref="B181:F181"/>
    <mergeCell ref="B182:F182"/>
    <mergeCell ref="B183:F183"/>
    <mergeCell ref="B184:F184"/>
    <mergeCell ref="B185:F185"/>
    <mergeCell ref="B186:F186"/>
    <mergeCell ref="B175:F175"/>
    <mergeCell ref="B176:F176"/>
    <mergeCell ref="B177:F177"/>
    <mergeCell ref="B178:F178"/>
    <mergeCell ref="B179:F179"/>
    <mergeCell ref="B180:F180"/>
    <mergeCell ref="B169:F169"/>
    <mergeCell ref="B170:F170"/>
    <mergeCell ref="B171:F171"/>
    <mergeCell ref="B172:F172"/>
    <mergeCell ref="B173:F173"/>
    <mergeCell ref="B174:F174"/>
    <mergeCell ref="B163:F163"/>
    <mergeCell ref="B164:F164"/>
    <mergeCell ref="B165:F165"/>
    <mergeCell ref="B166:F166"/>
    <mergeCell ref="B167:F167"/>
    <mergeCell ref="B168:F168"/>
    <mergeCell ref="B157:F157"/>
    <mergeCell ref="B158:F158"/>
    <mergeCell ref="B159:F159"/>
    <mergeCell ref="B160:F160"/>
    <mergeCell ref="B161:F161"/>
    <mergeCell ref="B162:F162"/>
    <mergeCell ref="B151:F151"/>
    <mergeCell ref="B152:F152"/>
    <mergeCell ref="B153:F153"/>
    <mergeCell ref="B154:F154"/>
    <mergeCell ref="B155:F155"/>
    <mergeCell ref="B156:F156"/>
    <mergeCell ref="B145:F145"/>
    <mergeCell ref="B146:F146"/>
    <mergeCell ref="B147:F147"/>
    <mergeCell ref="B148:F148"/>
    <mergeCell ref="B149:F149"/>
    <mergeCell ref="B150:F150"/>
    <mergeCell ref="B139:F139"/>
    <mergeCell ref="B140:F140"/>
    <mergeCell ref="B141:F141"/>
    <mergeCell ref="B142:F142"/>
    <mergeCell ref="B143:F143"/>
    <mergeCell ref="B144:F144"/>
    <mergeCell ref="B133:F133"/>
    <mergeCell ref="B134:F134"/>
    <mergeCell ref="B135:F135"/>
    <mergeCell ref="B136:F136"/>
    <mergeCell ref="B137:F137"/>
    <mergeCell ref="B138:F138"/>
    <mergeCell ref="B127:F127"/>
    <mergeCell ref="B128:F128"/>
    <mergeCell ref="B129:F129"/>
    <mergeCell ref="B130:F130"/>
    <mergeCell ref="B131:F131"/>
    <mergeCell ref="B132:F132"/>
    <mergeCell ref="B121:F121"/>
    <mergeCell ref="B122:F122"/>
    <mergeCell ref="B123:F123"/>
    <mergeCell ref="B124:F124"/>
    <mergeCell ref="B125:F125"/>
    <mergeCell ref="B126:F126"/>
    <mergeCell ref="B115:F115"/>
    <mergeCell ref="B116:F116"/>
    <mergeCell ref="B117:F117"/>
    <mergeCell ref="B118:F118"/>
    <mergeCell ref="B119:F119"/>
    <mergeCell ref="B120:F120"/>
    <mergeCell ref="B109:F109"/>
    <mergeCell ref="B110:F110"/>
    <mergeCell ref="B111:F111"/>
    <mergeCell ref="B112:F112"/>
    <mergeCell ref="B113:F113"/>
    <mergeCell ref="B114:F114"/>
    <mergeCell ref="B103:F103"/>
    <mergeCell ref="B104:F104"/>
    <mergeCell ref="B105:F105"/>
    <mergeCell ref="B106:F106"/>
    <mergeCell ref="B107:F107"/>
    <mergeCell ref="B108:F108"/>
    <mergeCell ref="B97:F97"/>
    <mergeCell ref="B98:F98"/>
    <mergeCell ref="B99:F99"/>
    <mergeCell ref="B100:F100"/>
    <mergeCell ref="B101:F101"/>
    <mergeCell ref="B102:F102"/>
    <mergeCell ref="B91:F91"/>
    <mergeCell ref="B92:F92"/>
    <mergeCell ref="B93:F93"/>
    <mergeCell ref="B94:F94"/>
    <mergeCell ref="B95:F95"/>
    <mergeCell ref="B96:F96"/>
    <mergeCell ref="B85:F85"/>
    <mergeCell ref="B86:F86"/>
    <mergeCell ref="B87:F87"/>
    <mergeCell ref="B88:F88"/>
    <mergeCell ref="B89:F89"/>
    <mergeCell ref="B90:F90"/>
    <mergeCell ref="B79:F79"/>
    <mergeCell ref="B80:F80"/>
    <mergeCell ref="B81:F81"/>
    <mergeCell ref="B82:F82"/>
    <mergeCell ref="B83:F83"/>
    <mergeCell ref="B84:F84"/>
    <mergeCell ref="B73:F73"/>
    <mergeCell ref="B74:F74"/>
    <mergeCell ref="B75:F75"/>
    <mergeCell ref="B76:F76"/>
    <mergeCell ref="B77:F77"/>
    <mergeCell ref="B78:F78"/>
    <mergeCell ref="B67:F67"/>
    <mergeCell ref="B68:F68"/>
    <mergeCell ref="B69:F69"/>
    <mergeCell ref="B70:F70"/>
    <mergeCell ref="B71:F71"/>
    <mergeCell ref="B72:F72"/>
    <mergeCell ref="B61:F61"/>
    <mergeCell ref="B62:F62"/>
    <mergeCell ref="B63:F63"/>
    <mergeCell ref="B64:F64"/>
    <mergeCell ref="B65:F65"/>
    <mergeCell ref="B66:F66"/>
    <mergeCell ref="B55:F55"/>
    <mergeCell ref="B56:F56"/>
    <mergeCell ref="B57:F57"/>
    <mergeCell ref="B58:F58"/>
    <mergeCell ref="B59:F59"/>
    <mergeCell ref="B60:F60"/>
    <mergeCell ref="B49:F49"/>
    <mergeCell ref="B50:F50"/>
    <mergeCell ref="B51:F51"/>
    <mergeCell ref="B52:F52"/>
    <mergeCell ref="B53:F53"/>
    <mergeCell ref="B54:F54"/>
    <mergeCell ref="B43:F43"/>
    <mergeCell ref="B44:F44"/>
    <mergeCell ref="B45:F45"/>
    <mergeCell ref="B46:F46"/>
    <mergeCell ref="B47:F47"/>
    <mergeCell ref="B48:F48"/>
    <mergeCell ref="B37:F37"/>
    <mergeCell ref="B38:F38"/>
    <mergeCell ref="B39:F39"/>
    <mergeCell ref="B40:F40"/>
    <mergeCell ref="B41:F41"/>
    <mergeCell ref="B42:F42"/>
    <mergeCell ref="B31:F31"/>
    <mergeCell ref="B32:F32"/>
    <mergeCell ref="B33:F33"/>
    <mergeCell ref="B34:F34"/>
    <mergeCell ref="B35:F35"/>
    <mergeCell ref="B36:F36"/>
    <mergeCell ref="B25:F25"/>
    <mergeCell ref="B26:F26"/>
    <mergeCell ref="B27:F27"/>
    <mergeCell ref="B28:F28"/>
    <mergeCell ref="B29:F29"/>
    <mergeCell ref="B30:F30"/>
    <mergeCell ref="B19:F19"/>
    <mergeCell ref="B20:F20"/>
    <mergeCell ref="B21:F21"/>
    <mergeCell ref="B22:F22"/>
    <mergeCell ref="B23:F23"/>
    <mergeCell ref="B24:F24"/>
    <mergeCell ref="B13:F13"/>
    <mergeCell ref="B14:F14"/>
    <mergeCell ref="B15:F15"/>
    <mergeCell ref="B16:F16"/>
    <mergeCell ref="B17:F17"/>
    <mergeCell ref="B18:F18"/>
    <mergeCell ref="B7:F7"/>
    <mergeCell ref="B8:F8"/>
    <mergeCell ref="B9:F9"/>
    <mergeCell ref="B10:F10"/>
    <mergeCell ref="B11:F11"/>
    <mergeCell ref="B12:F12"/>
    <mergeCell ref="A1:F1"/>
    <mergeCell ref="B2:F2"/>
    <mergeCell ref="B3:F3"/>
    <mergeCell ref="B4:F4"/>
    <mergeCell ref="B5:F5"/>
    <mergeCell ref="B6:F6"/>
  </mergeCells>
  <phoneticPr fontId="10" type="noConversion"/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206"/>
  <sheetViews>
    <sheetView workbookViewId="0">
      <selection activeCell="A8" sqref="A8"/>
    </sheetView>
  </sheetViews>
  <sheetFormatPr defaultRowHeight="12.75"/>
  <cols>
    <col min="1" max="1" width="30.85546875" customWidth="1"/>
    <col min="2" max="2" width="12" customWidth="1"/>
    <col min="3" max="3" width="10.5703125" customWidth="1"/>
    <col min="4" max="4" width="10.7109375" customWidth="1"/>
    <col min="5" max="5" width="12.5703125" customWidth="1"/>
    <col min="6" max="6" width="19.42578125" customWidth="1"/>
    <col min="7" max="7" width="22.85546875" customWidth="1"/>
  </cols>
  <sheetData>
    <row r="1" spans="1:7">
      <c r="A1" s="5" t="s">
        <v>102</v>
      </c>
    </row>
    <row r="2" spans="1:7" s="3" customFormat="1" ht="15.75">
      <c r="A2" s="141" t="s">
        <v>58</v>
      </c>
      <c r="B2" s="142"/>
      <c r="C2" s="142"/>
      <c r="D2" s="142"/>
      <c r="E2" s="142"/>
      <c r="F2" s="142"/>
      <c r="G2" s="143"/>
    </row>
    <row r="3" spans="1:7" s="18" customFormat="1" ht="19.5" customHeight="1">
      <c r="A3" s="16" t="s">
        <v>59</v>
      </c>
      <c r="B3" s="7" t="s">
        <v>60</v>
      </c>
      <c r="C3" s="15" t="s">
        <v>61</v>
      </c>
      <c r="D3" s="7" t="s">
        <v>62</v>
      </c>
      <c r="E3" s="15" t="s">
        <v>63</v>
      </c>
      <c r="F3" s="8" t="s">
        <v>64</v>
      </c>
      <c r="G3" s="9" t="s">
        <v>65</v>
      </c>
    </row>
    <row r="4" spans="1:7" s="3" customFormat="1">
      <c r="A4" s="17" t="str">
        <f>IF('EDC&amp;EDP_FuncList'!$A3= "", "",'EDC&amp;EDP_FuncList'!$A3)</f>
        <v>【区分不同客户端的需求】EDP 用户活跃 能区分不同类型终端（Android/iOS/WebTV)</v>
      </c>
      <c r="B4" s="4">
        <v>1</v>
      </c>
      <c r="C4" s="4">
        <v>3</v>
      </c>
      <c r="D4" s="4">
        <v>4</v>
      </c>
      <c r="E4" s="7">
        <f>IF((B4+4*C4+D4)/6 =0,"",(B4+4*C4+D4)/6)</f>
        <v>2.8333333333333335</v>
      </c>
      <c r="F4" s="8">
        <f>IF(E4&lt;&gt;"",((D4-B4)/6)/E4,"")</f>
        <v>0.1764705882352941</v>
      </c>
      <c r="G4" s="10">
        <f>IF(E4="","0",E4)</f>
        <v>2.8333333333333335</v>
      </c>
    </row>
    <row r="5" spans="1:7" s="6" customFormat="1">
      <c r="A5" s="17" t="str">
        <f>IF('EDC&amp;EDP_FuncList'!$A4= "", "",'EDC&amp;EDP_FuncList'!$A4)</f>
        <v>【区分不同客户端的需求】EDP 订购用户能区分不同客户端的数据（Android/iOS/WebTV)</v>
      </c>
      <c r="B5" s="4">
        <v>2</v>
      </c>
      <c r="C5" s="4">
        <v>4</v>
      </c>
      <c r="D5" s="4">
        <v>5</v>
      </c>
      <c r="E5" s="7">
        <f t="shared" ref="E5:E68" si="0">IF((B5+4*C5+D5)/6 =0,"",(B5+4*C5+D5)/6)</f>
        <v>3.8333333333333335</v>
      </c>
      <c r="F5" s="8">
        <f t="shared" ref="F5:F68" si="1">IF(E5&lt;&gt;"",((D5-B5)/6)/E5,"")</f>
        <v>0.13043478260869565</v>
      </c>
      <c r="G5" s="10">
        <f t="shared" ref="G5:G68" si="2">IF(E5="","0",E5)</f>
        <v>3.8333333333333335</v>
      </c>
    </row>
    <row r="6" spans="1:7" s="6" customFormat="1">
      <c r="A6" s="17" t="str">
        <f>IF('EDC&amp;EDP_FuncList'!$A5= "", "",'EDC&amp;EDP_FuncList'!$A5)</f>
        <v>统计不同版本客户端的数量</v>
      </c>
      <c r="B6" s="4">
        <v>1</v>
      </c>
      <c r="C6" s="4">
        <v>4</v>
      </c>
      <c r="D6" s="4">
        <v>4</v>
      </c>
      <c r="E6" s="7">
        <f t="shared" si="0"/>
        <v>3.5</v>
      </c>
      <c r="F6" s="8">
        <f t="shared" si="1"/>
        <v>0.14285714285714285</v>
      </c>
      <c r="G6" s="10">
        <f t="shared" si="2"/>
        <v>3.5</v>
      </c>
    </row>
    <row r="7" spans="1:7" s="6" customFormat="1">
      <c r="A7" s="17" t="str">
        <f>IF('EDC&amp;EDP_FuncList'!$A6= "", "",'EDC&amp;EDP_FuncList'!$A6)</f>
        <v>统计不同客户端的留存用户</v>
      </c>
      <c r="B7" s="4">
        <v>2</v>
      </c>
      <c r="C7" s="4">
        <v>4</v>
      </c>
      <c r="D7" s="4">
        <v>4</v>
      </c>
      <c r="E7" s="7">
        <f t="shared" si="0"/>
        <v>3.6666666666666665</v>
      </c>
      <c r="F7" s="8">
        <f t="shared" si="1"/>
        <v>9.0909090909090912E-2</v>
      </c>
      <c r="G7" s="10">
        <f t="shared" si="2"/>
        <v>3.6666666666666665</v>
      </c>
    </row>
    <row r="8" spans="1:7">
      <c r="A8" s="17" t="str">
        <f>IF('EDC&amp;EDP_FuncList'!$A7= "", "",'EDC&amp;EDP_FuncList'!$A7)</f>
        <v>内部优化（支持时区带小数的项目接入）</v>
      </c>
      <c r="B8" s="4">
        <v>1</v>
      </c>
      <c r="C8" s="4">
        <v>3</v>
      </c>
      <c r="D8" s="4">
        <v>4</v>
      </c>
      <c r="E8" s="7">
        <f t="shared" si="0"/>
        <v>2.8333333333333335</v>
      </c>
      <c r="F8" s="8">
        <f t="shared" si="1"/>
        <v>0.1764705882352941</v>
      </c>
      <c r="G8" s="10">
        <f t="shared" si="2"/>
        <v>2.8333333333333335</v>
      </c>
    </row>
    <row r="9" spans="1:7">
      <c r="A9" s="17" t="str">
        <f>IF('EDC&amp;EDP_FuncList'!$A8= "", "",'EDC&amp;EDP_FuncList'!$A8)</f>
        <v/>
      </c>
      <c r="B9" s="4"/>
      <c r="C9" s="4"/>
      <c r="D9" s="4"/>
      <c r="E9" s="7" t="str">
        <f t="shared" si="0"/>
        <v/>
      </c>
      <c r="F9" s="8" t="str">
        <f t="shared" si="1"/>
        <v/>
      </c>
      <c r="G9" s="10" t="str">
        <f t="shared" si="2"/>
        <v>0</v>
      </c>
    </row>
    <row r="10" spans="1:7">
      <c r="A10" s="17" t="str">
        <f>IF('EDC&amp;EDP_FuncList'!$A9= "", "",'EDC&amp;EDP_FuncList'!$A9)</f>
        <v/>
      </c>
      <c r="B10" s="4"/>
      <c r="C10" s="4"/>
      <c r="D10" s="4"/>
      <c r="E10" s="7" t="str">
        <f t="shared" si="0"/>
        <v/>
      </c>
      <c r="F10" s="8" t="str">
        <f t="shared" si="1"/>
        <v/>
      </c>
      <c r="G10" s="10" t="str">
        <f t="shared" si="2"/>
        <v>0</v>
      </c>
    </row>
    <row r="11" spans="1:7">
      <c r="A11" s="17" t="str">
        <f>IF('EDC&amp;EDP_FuncList'!$A10= "", "",'EDC&amp;EDP_FuncList'!$A10)</f>
        <v/>
      </c>
      <c r="B11" s="4"/>
      <c r="C11" s="4"/>
      <c r="D11" s="4"/>
      <c r="E11" s="7" t="str">
        <f t="shared" si="0"/>
        <v/>
      </c>
      <c r="F11" s="8" t="str">
        <f t="shared" si="1"/>
        <v/>
      </c>
      <c r="G11" s="10" t="str">
        <f t="shared" si="2"/>
        <v>0</v>
      </c>
    </row>
    <row r="12" spans="1:7">
      <c r="A12" s="17" t="str">
        <f>IF('EDC&amp;EDP_FuncList'!$A11= "", "",'EDC&amp;EDP_FuncList'!$A11)</f>
        <v/>
      </c>
      <c r="B12" s="4"/>
      <c r="C12" s="4"/>
      <c r="D12" s="4"/>
      <c r="E12" s="7" t="str">
        <f t="shared" si="0"/>
        <v/>
      </c>
      <c r="F12" s="8" t="str">
        <f t="shared" si="1"/>
        <v/>
      </c>
      <c r="G12" s="10" t="str">
        <f t="shared" si="2"/>
        <v>0</v>
      </c>
    </row>
    <row r="13" spans="1:7">
      <c r="A13" s="17" t="str">
        <f>IF('EDC&amp;EDP_FuncList'!$A12= "", "",'EDC&amp;EDP_FuncList'!$A12)</f>
        <v/>
      </c>
      <c r="B13" s="4"/>
      <c r="C13" s="4"/>
      <c r="D13" s="4"/>
      <c r="E13" s="7" t="str">
        <f t="shared" si="0"/>
        <v/>
      </c>
      <c r="F13" s="8" t="str">
        <f t="shared" si="1"/>
        <v/>
      </c>
      <c r="G13" s="10" t="str">
        <f t="shared" si="2"/>
        <v>0</v>
      </c>
    </row>
    <row r="14" spans="1:7">
      <c r="A14" s="17" t="str">
        <f>IF('EDC&amp;EDP_FuncList'!$A13= "", "",'EDC&amp;EDP_FuncList'!$A13)</f>
        <v/>
      </c>
      <c r="B14" s="4"/>
      <c r="C14" s="4"/>
      <c r="D14" s="4"/>
      <c r="E14" s="7" t="str">
        <f t="shared" si="0"/>
        <v/>
      </c>
      <c r="F14" s="8" t="str">
        <f t="shared" si="1"/>
        <v/>
      </c>
      <c r="G14" s="10" t="str">
        <f t="shared" si="2"/>
        <v>0</v>
      </c>
    </row>
    <row r="15" spans="1:7">
      <c r="A15" s="17" t="str">
        <f>IF('EDC&amp;EDP_FuncList'!$A14= "", "",'EDC&amp;EDP_FuncList'!$A14)</f>
        <v/>
      </c>
      <c r="B15" s="4"/>
      <c r="C15" s="4"/>
      <c r="D15" s="4"/>
      <c r="E15" s="7" t="str">
        <f t="shared" si="0"/>
        <v/>
      </c>
      <c r="F15" s="8" t="str">
        <f t="shared" si="1"/>
        <v/>
      </c>
      <c r="G15" s="10" t="str">
        <f t="shared" si="2"/>
        <v>0</v>
      </c>
    </row>
    <row r="16" spans="1:7">
      <c r="A16" s="17" t="str">
        <f>IF('EDC&amp;EDP_FuncList'!$A15= "", "",'EDC&amp;EDP_FuncList'!$A15)</f>
        <v/>
      </c>
      <c r="B16" s="4"/>
      <c r="C16" s="4"/>
      <c r="D16" s="4"/>
      <c r="E16" s="7" t="str">
        <f t="shared" si="0"/>
        <v/>
      </c>
      <c r="F16" s="8" t="str">
        <f t="shared" si="1"/>
        <v/>
      </c>
      <c r="G16" s="10" t="str">
        <f t="shared" si="2"/>
        <v>0</v>
      </c>
    </row>
    <row r="17" spans="1:7">
      <c r="A17" s="17" t="str">
        <f>IF('EDC&amp;EDP_FuncList'!$A16= "", "",'EDC&amp;EDP_FuncList'!$A16)</f>
        <v/>
      </c>
      <c r="B17" s="4"/>
      <c r="C17" s="4"/>
      <c r="D17" s="4"/>
      <c r="E17" s="7" t="str">
        <f t="shared" si="0"/>
        <v/>
      </c>
      <c r="F17" s="8" t="str">
        <f t="shared" si="1"/>
        <v/>
      </c>
      <c r="G17" s="10" t="str">
        <f t="shared" si="2"/>
        <v>0</v>
      </c>
    </row>
    <row r="18" spans="1:7">
      <c r="A18" s="17" t="str">
        <f>IF('EDC&amp;EDP_FuncList'!$A17= "", "",'EDC&amp;EDP_FuncList'!$A17)</f>
        <v/>
      </c>
      <c r="B18" s="4"/>
      <c r="C18" s="4"/>
      <c r="D18" s="4"/>
      <c r="E18" s="7" t="str">
        <f t="shared" si="0"/>
        <v/>
      </c>
      <c r="F18" s="8" t="str">
        <f t="shared" si="1"/>
        <v/>
      </c>
      <c r="G18" s="10" t="str">
        <f t="shared" si="2"/>
        <v>0</v>
      </c>
    </row>
    <row r="19" spans="1:7">
      <c r="A19" s="17" t="str">
        <f>IF('EDC&amp;EDP_FuncList'!$A18= "", "",'EDC&amp;EDP_FuncList'!$A18)</f>
        <v/>
      </c>
      <c r="B19" s="4"/>
      <c r="C19" s="4"/>
      <c r="D19" s="4"/>
      <c r="E19" s="7" t="str">
        <f t="shared" si="0"/>
        <v/>
      </c>
      <c r="F19" s="8" t="str">
        <f t="shared" si="1"/>
        <v/>
      </c>
      <c r="G19" s="10" t="str">
        <f t="shared" si="2"/>
        <v>0</v>
      </c>
    </row>
    <row r="20" spans="1:7">
      <c r="A20" s="17" t="str">
        <f>IF('EDC&amp;EDP_FuncList'!$A19= "", "",'EDC&amp;EDP_FuncList'!$A19)</f>
        <v/>
      </c>
      <c r="B20" s="4"/>
      <c r="C20" s="4"/>
      <c r="D20" s="4"/>
      <c r="E20" s="7" t="str">
        <f t="shared" si="0"/>
        <v/>
      </c>
      <c r="F20" s="8" t="str">
        <f t="shared" si="1"/>
        <v/>
      </c>
      <c r="G20" s="10" t="str">
        <f t="shared" si="2"/>
        <v>0</v>
      </c>
    </row>
    <row r="21" spans="1:7">
      <c r="A21" s="17" t="str">
        <f>IF('EDC&amp;EDP_FuncList'!$A20= "", "",'EDC&amp;EDP_FuncList'!$A20)</f>
        <v/>
      </c>
      <c r="B21" s="4"/>
      <c r="C21" s="4"/>
      <c r="D21" s="4"/>
      <c r="E21" s="7" t="str">
        <f t="shared" si="0"/>
        <v/>
      </c>
      <c r="F21" s="8" t="str">
        <f t="shared" si="1"/>
        <v/>
      </c>
      <c r="G21" s="10" t="str">
        <f t="shared" si="2"/>
        <v>0</v>
      </c>
    </row>
    <row r="22" spans="1:7">
      <c r="A22" s="17" t="str">
        <f>IF('EDC&amp;EDP_FuncList'!$A21= "", "",'EDC&amp;EDP_FuncList'!$A21)</f>
        <v/>
      </c>
      <c r="B22" s="4"/>
      <c r="C22" s="4"/>
      <c r="D22" s="4"/>
      <c r="E22" s="7" t="str">
        <f t="shared" si="0"/>
        <v/>
      </c>
      <c r="F22" s="8" t="str">
        <f t="shared" si="1"/>
        <v/>
      </c>
      <c r="G22" s="10" t="str">
        <f t="shared" si="2"/>
        <v>0</v>
      </c>
    </row>
    <row r="23" spans="1:7">
      <c r="A23" s="17" t="str">
        <f>IF('EDC&amp;EDP_FuncList'!$A22= "", "",'EDC&amp;EDP_FuncList'!$A22)</f>
        <v/>
      </c>
      <c r="B23" s="4"/>
      <c r="C23" s="4"/>
      <c r="D23" s="4"/>
      <c r="E23" s="7" t="str">
        <f t="shared" si="0"/>
        <v/>
      </c>
      <c r="F23" s="8" t="str">
        <f t="shared" si="1"/>
        <v/>
      </c>
      <c r="G23" s="10" t="str">
        <f t="shared" si="2"/>
        <v>0</v>
      </c>
    </row>
    <row r="24" spans="1:7">
      <c r="A24" s="17" t="str">
        <f>IF('EDC&amp;EDP_FuncList'!$A23= "", "",'EDC&amp;EDP_FuncList'!$A23)</f>
        <v/>
      </c>
      <c r="B24" s="4"/>
      <c r="C24" s="4"/>
      <c r="D24" s="4"/>
      <c r="E24" s="7" t="str">
        <f t="shared" si="0"/>
        <v/>
      </c>
      <c r="F24" s="8" t="str">
        <f t="shared" si="1"/>
        <v/>
      </c>
      <c r="G24" s="10" t="str">
        <f t="shared" si="2"/>
        <v>0</v>
      </c>
    </row>
    <row r="25" spans="1:7">
      <c r="A25" s="17" t="str">
        <f>IF('EDC&amp;EDP_FuncList'!$A24= "", "",'EDC&amp;EDP_FuncList'!$A24)</f>
        <v/>
      </c>
      <c r="B25" s="4"/>
      <c r="C25" s="4"/>
      <c r="D25" s="4"/>
      <c r="E25" s="7" t="str">
        <f t="shared" si="0"/>
        <v/>
      </c>
      <c r="F25" s="8" t="str">
        <f t="shared" si="1"/>
        <v/>
      </c>
      <c r="G25" s="10" t="str">
        <f t="shared" si="2"/>
        <v>0</v>
      </c>
    </row>
    <row r="26" spans="1:7">
      <c r="A26" s="17" t="str">
        <f>IF('EDC&amp;EDP_FuncList'!$A25= "", "",'EDC&amp;EDP_FuncList'!$A25)</f>
        <v/>
      </c>
      <c r="B26" s="4"/>
      <c r="C26" s="4"/>
      <c r="D26" s="4"/>
      <c r="E26" s="7" t="str">
        <f t="shared" si="0"/>
        <v/>
      </c>
      <c r="F26" s="8" t="str">
        <f t="shared" si="1"/>
        <v/>
      </c>
      <c r="G26" s="10" t="str">
        <f t="shared" si="2"/>
        <v>0</v>
      </c>
    </row>
    <row r="27" spans="1:7">
      <c r="A27" s="17" t="str">
        <f>IF('EDC&amp;EDP_FuncList'!$A26= "", "",'EDC&amp;EDP_FuncList'!$A26)</f>
        <v/>
      </c>
      <c r="B27" s="4"/>
      <c r="C27" s="4"/>
      <c r="D27" s="4"/>
      <c r="E27" s="7" t="str">
        <f t="shared" si="0"/>
        <v/>
      </c>
      <c r="F27" s="8" t="str">
        <f t="shared" si="1"/>
        <v/>
      </c>
      <c r="G27" s="10" t="str">
        <f t="shared" si="2"/>
        <v>0</v>
      </c>
    </row>
    <row r="28" spans="1:7">
      <c r="A28" s="17" t="str">
        <f>IF('EDC&amp;EDP_FuncList'!$A27= "", "",'EDC&amp;EDP_FuncList'!$A27)</f>
        <v/>
      </c>
      <c r="B28" s="4"/>
      <c r="C28" s="4"/>
      <c r="D28" s="4"/>
      <c r="E28" s="7" t="str">
        <f t="shared" si="0"/>
        <v/>
      </c>
      <c r="F28" s="8" t="str">
        <f t="shared" si="1"/>
        <v/>
      </c>
      <c r="G28" s="10" t="str">
        <f t="shared" si="2"/>
        <v>0</v>
      </c>
    </row>
    <row r="29" spans="1:7">
      <c r="A29" s="17" t="str">
        <f>IF('EDC&amp;EDP_FuncList'!$A28= "", "",'EDC&amp;EDP_FuncList'!$A28)</f>
        <v/>
      </c>
      <c r="B29" s="4"/>
      <c r="C29" s="4"/>
      <c r="D29" s="4"/>
      <c r="E29" s="7" t="str">
        <f t="shared" si="0"/>
        <v/>
      </c>
      <c r="F29" s="8" t="str">
        <f t="shared" si="1"/>
        <v/>
      </c>
      <c r="G29" s="10" t="str">
        <f t="shared" si="2"/>
        <v>0</v>
      </c>
    </row>
    <row r="30" spans="1:7">
      <c r="A30" s="17" t="str">
        <f>IF('EDC&amp;EDP_FuncList'!$A29= "", "",'EDC&amp;EDP_FuncList'!$A29)</f>
        <v/>
      </c>
      <c r="B30" s="4"/>
      <c r="C30" s="4"/>
      <c r="D30" s="4"/>
      <c r="E30" s="7" t="str">
        <f t="shared" si="0"/>
        <v/>
      </c>
      <c r="F30" s="8" t="str">
        <f t="shared" si="1"/>
        <v/>
      </c>
      <c r="G30" s="10" t="str">
        <f t="shared" si="2"/>
        <v>0</v>
      </c>
    </row>
    <row r="31" spans="1:7">
      <c r="A31" s="17" t="str">
        <f>IF('EDC&amp;EDP_FuncList'!$A30= "", "",'EDC&amp;EDP_FuncList'!$A30)</f>
        <v/>
      </c>
      <c r="B31" s="4"/>
      <c r="C31" s="4"/>
      <c r="D31" s="4"/>
      <c r="E31" s="7" t="str">
        <f t="shared" si="0"/>
        <v/>
      </c>
      <c r="F31" s="8" t="str">
        <f t="shared" si="1"/>
        <v/>
      </c>
      <c r="G31" s="10" t="str">
        <f t="shared" si="2"/>
        <v>0</v>
      </c>
    </row>
    <row r="32" spans="1:7">
      <c r="A32" s="17" t="str">
        <f>IF('EDC&amp;EDP_FuncList'!$A31= "", "",'EDC&amp;EDP_FuncList'!$A31)</f>
        <v/>
      </c>
      <c r="B32" s="4"/>
      <c r="C32" s="4"/>
      <c r="D32" s="4"/>
      <c r="E32" s="7" t="str">
        <f t="shared" si="0"/>
        <v/>
      </c>
      <c r="F32" s="8" t="str">
        <f t="shared" si="1"/>
        <v/>
      </c>
      <c r="G32" s="10" t="str">
        <f t="shared" si="2"/>
        <v>0</v>
      </c>
    </row>
    <row r="33" spans="1:7">
      <c r="A33" s="17" t="str">
        <f>IF('EDC&amp;EDP_FuncList'!$A32= "", "",'EDC&amp;EDP_FuncList'!$A32)</f>
        <v/>
      </c>
      <c r="B33" s="4"/>
      <c r="C33" s="4"/>
      <c r="D33" s="4"/>
      <c r="E33" s="7" t="str">
        <f t="shared" si="0"/>
        <v/>
      </c>
      <c r="F33" s="8" t="str">
        <f t="shared" si="1"/>
        <v/>
      </c>
      <c r="G33" s="10" t="str">
        <f t="shared" si="2"/>
        <v>0</v>
      </c>
    </row>
    <row r="34" spans="1:7">
      <c r="A34" s="17" t="str">
        <f>IF('EDC&amp;EDP_FuncList'!$A33= "", "",'EDC&amp;EDP_FuncList'!$A33)</f>
        <v/>
      </c>
      <c r="B34" s="4"/>
      <c r="C34" s="4"/>
      <c r="D34" s="4"/>
      <c r="E34" s="7" t="str">
        <f t="shared" si="0"/>
        <v/>
      </c>
      <c r="F34" s="8" t="str">
        <f t="shared" si="1"/>
        <v/>
      </c>
      <c r="G34" s="10" t="str">
        <f t="shared" si="2"/>
        <v>0</v>
      </c>
    </row>
    <row r="35" spans="1:7">
      <c r="A35" s="17" t="str">
        <f>IF('EDC&amp;EDP_FuncList'!$A34= "", "",'EDC&amp;EDP_FuncList'!$A34)</f>
        <v/>
      </c>
      <c r="B35" s="4"/>
      <c r="C35" s="4"/>
      <c r="D35" s="4"/>
      <c r="E35" s="7" t="str">
        <f t="shared" si="0"/>
        <v/>
      </c>
      <c r="F35" s="8" t="str">
        <f t="shared" si="1"/>
        <v/>
      </c>
      <c r="G35" s="10" t="str">
        <f t="shared" si="2"/>
        <v>0</v>
      </c>
    </row>
    <row r="36" spans="1:7">
      <c r="A36" s="17" t="str">
        <f>IF('EDC&amp;EDP_FuncList'!$A35= "", "",'EDC&amp;EDP_FuncList'!$A35)</f>
        <v/>
      </c>
      <c r="B36" s="4"/>
      <c r="C36" s="4"/>
      <c r="D36" s="4"/>
      <c r="E36" s="7" t="str">
        <f t="shared" si="0"/>
        <v/>
      </c>
      <c r="F36" s="8" t="str">
        <f t="shared" si="1"/>
        <v/>
      </c>
      <c r="G36" s="10" t="str">
        <f t="shared" si="2"/>
        <v>0</v>
      </c>
    </row>
    <row r="37" spans="1:7">
      <c r="A37" s="17" t="str">
        <f>IF('EDC&amp;EDP_FuncList'!$A36= "", "",'EDC&amp;EDP_FuncList'!$A36)</f>
        <v/>
      </c>
      <c r="B37" s="4"/>
      <c r="C37" s="4"/>
      <c r="D37" s="4"/>
      <c r="E37" s="7" t="str">
        <f t="shared" si="0"/>
        <v/>
      </c>
      <c r="F37" s="8" t="str">
        <f t="shared" si="1"/>
        <v/>
      </c>
      <c r="G37" s="10" t="str">
        <f t="shared" si="2"/>
        <v>0</v>
      </c>
    </row>
    <row r="38" spans="1:7">
      <c r="A38" s="17" t="str">
        <f>IF('EDC&amp;EDP_FuncList'!$A37= "", "",'EDC&amp;EDP_FuncList'!$A37)</f>
        <v/>
      </c>
      <c r="B38" s="4"/>
      <c r="C38" s="4"/>
      <c r="D38" s="4"/>
      <c r="E38" s="7" t="str">
        <f t="shared" si="0"/>
        <v/>
      </c>
      <c r="F38" s="8" t="str">
        <f t="shared" si="1"/>
        <v/>
      </c>
      <c r="G38" s="10" t="str">
        <f t="shared" si="2"/>
        <v>0</v>
      </c>
    </row>
    <row r="39" spans="1:7">
      <c r="A39" s="17" t="str">
        <f>IF('EDC&amp;EDP_FuncList'!$A38= "", "",'EDC&amp;EDP_FuncList'!$A38)</f>
        <v/>
      </c>
      <c r="B39" s="4"/>
      <c r="C39" s="4"/>
      <c r="D39" s="4"/>
      <c r="E39" s="7" t="str">
        <f t="shared" si="0"/>
        <v/>
      </c>
      <c r="F39" s="8" t="str">
        <f t="shared" si="1"/>
        <v/>
      </c>
      <c r="G39" s="10" t="str">
        <f t="shared" si="2"/>
        <v>0</v>
      </c>
    </row>
    <row r="40" spans="1:7">
      <c r="A40" s="17" t="str">
        <f>IF('EDC&amp;EDP_FuncList'!$A39= "", "",'EDC&amp;EDP_FuncList'!$A39)</f>
        <v/>
      </c>
      <c r="B40" s="4"/>
      <c r="C40" s="4"/>
      <c r="D40" s="4"/>
      <c r="E40" s="7" t="str">
        <f t="shared" si="0"/>
        <v/>
      </c>
      <c r="F40" s="8" t="str">
        <f t="shared" si="1"/>
        <v/>
      </c>
      <c r="G40" s="10" t="str">
        <f t="shared" si="2"/>
        <v>0</v>
      </c>
    </row>
    <row r="41" spans="1:7">
      <c r="A41" s="17" t="str">
        <f>IF('EDC&amp;EDP_FuncList'!$A40= "", "",'EDC&amp;EDP_FuncList'!$A40)</f>
        <v/>
      </c>
      <c r="B41" s="4"/>
      <c r="C41" s="4"/>
      <c r="D41" s="4"/>
      <c r="E41" s="7" t="str">
        <f t="shared" si="0"/>
        <v/>
      </c>
      <c r="F41" s="8" t="str">
        <f t="shared" si="1"/>
        <v/>
      </c>
      <c r="G41" s="10" t="str">
        <f t="shared" si="2"/>
        <v>0</v>
      </c>
    </row>
    <row r="42" spans="1:7">
      <c r="A42" s="17" t="str">
        <f>IF('EDC&amp;EDP_FuncList'!$A41= "", "",'EDC&amp;EDP_FuncList'!$A41)</f>
        <v/>
      </c>
      <c r="B42" s="4"/>
      <c r="C42" s="4"/>
      <c r="D42" s="4"/>
      <c r="E42" s="7" t="str">
        <f t="shared" si="0"/>
        <v/>
      </c>
      <c r="F42" s="8" t="str">
        <f t="shared" si="1"/>
        <v/>
      </c>
      <c r="G42" s="10" t="str">
        <f t="shared" si="2"/>
        <v>0</v>
      </c>
    </row>
    <row r="43" spans="1:7">
      <c r="A43" s="17" t="str">
        <f>IF('EDC&amp;EDP_FuncList'!$A42= "", "",'EDC&amp;EDP_FuncList'!$A42)</f>
        <v/>
      </c>
      <c r="B43" s="4"/>
      <c r="C43" s="4"/>
      <c r="D43" s="4"/>
      <c r="E43" s="7" t="str">
        <f t="shared" si="0"/>
        <v/>
      </c>
      <c r="F43" s="8" t="str">
        <f t="shared" si="1"/>
        <v/>
      </c>
      <c r="G43" s="10" t="str">
        <f t="shared" si="2"/>
        <v>0</v>
      </c>
    </row>
    <row r="44" spans="1:7">
      <c r="A44" s="17" t="str">
        <f>IF('EDC&amp;EDP_FuncList'!$A43= "", "",'EDC&amp;EDP_FuncList'!$A43)</f>
        <v/>
      </c>
      <c r="B44" s="4"/>
      <c r="C44" s="4"/>
      <c r="D44" s="4"/>
      <c r="E44" s="7" t="str">
        <f t="shared" si="0"/>
        <v/>
      </c>
      <c r="F44" s="8" t="str">
        <f t="shared" si="1"/>
        <v/>
      </c>
      <c r="G44" s="10" t="str">
        <f t="shared" si="2"/>
        <v>0</v>
      </c>
    </row>
    <row r="45" spans="1:7">
      <c r="A45" s="17" t="str">
        <f>IF('EDC&amp;EDP_FuncList'!$A44= "", "",'EDC&amp;EDP_FuncList'!$A44)</f>
        <v/>
      </c>
      <c r="B45" s="4"/>
      <c r="C45" s="4"/>
      <c r="D45" s="4"/>
      <c r="E45" s="7" t="str">
        <f t="shared" si="0"/>
        <v/>
      </c>
      <c r="F45" s="8" t="str">
        <f t="shared" si="1"/>
        <v/>
      </c>
      <c r="G45" s="10" t="str">
        <f t="shared" si="2"/>
        <v>0</v>
      </c>
    </row>
    <row r="46" spans="1:7">
      <c r="A46" s="17" t="str">
        <f>IF('EDC&amp;EDP_FuncList'!$A45= "", "",'EDC&amp;EDP_FuncList'!$A45)</f>
        <v/>
      </c>
      <c r="B46" s="4"/>
      <c r="C46" s="4"/>
      <c r="D46" s="4"/>
      <c r="E46" s="7" t="str">
        <f t="shared" si="0"/>
        <v/>
      </c>
      <c r="F46" s="8" t="str">
        <f t="shared" si="1"/>
        <v/>
      </c>
      <c r="G46" s="10" t="str">
        <f t="shared" si="2"/>
        <v>0</v>
      </c>
    </row>
    <row r="47" spans="1:7">
      <c r="A47" s="17" t="str">
        <f>IF('EDC&amp;EDP_FuncList'!$A46= "", "",'EDC&amp;EDP_FuncList'!$A46)</f>
        <v/>
      </c>
      <c r="B47" s="4"/>
      <c r="C47" s="4"/>
      <c r="D47" s="4"/>
      <c r="E47" s="7" t="str">
        <f t="shared" si="0"/>
        <v/>
      </c>
      <c r="F47" s="8" t="str">
        <f t="shared" si="1"/>
        <v/>
      </c>
      <c r="G47" s="10" t="str">
        <f t="shared" si="2"/>
        <v>0</v>
      </c>
    </row>
    <row r="48" spans="1:7">
      <c r="A48" s="17" t="str">
        <f>IF('EDC&amp;EDP_FuncList'!$A47= "", "",'EDC&amp;EDP_FuncList'!$A47)</f>
        <v/>
      </c>
      <c r="B48" s="4"/>
      <c r="C48" s="4"/>
      <c r="D48" s="4"/>
      <c r="E48" s="7" t="str">
        <f t="shared" si="0"/>
        <v/>
      </c>
      <c r="F48" s="8" t="str">
        <f t="shared" si="1"/>
        <v/>
      </c>
      <c r="G48" s="10" t="str">
        <f t="shared" si="2"/>
        <v>0</v>
      </c>
    </row>
    <row r="49" spans="1:7">
      <c r="A49" s="17" t="str">
        <f>IF('EDC&amp;EDP_FuncList'!$A48= "", "",'EDC&amp;EDP_FuncList'!$A48)</f>
        <v/>
      </c>
      <c r="B49" s="4"/>
      <c r="C49" s="4"/>
      <c r="D49" s="4"/>
      <c r="E49" s="7" t="str">
        <f t="shared" si="0"/>
        <v/>
      </c>
      <c r="F49" s="8" t="str">
        <f t="shared" si="1"/>
        <v/>
      </c>
      <c r="G49" s="10" t="str">
        <f t="shared" si="2"/>
        <v>0</v>
      </c>
    </row>
    <row r="50" spans="1:7">
      <c r="A50" s="17" t="str">
        <f>IF('EDC&amp;EDP_FuncList'!$A49= "", "",'EDC&amp;EDP_FuncList'!$A49)</f>
        <v/>
      </c>
      <c r="B50" s="4"/>
      <c r="C50" s="4"/>
      <c r="D50" s="4"/>
      <c r="E50" s="7" t="str">
        <f t="shared" si="0"/>
        <v/>
      </c>
      <c r="F50" s="8" t="str">
        <f t="shared" si="1"/>
        <v/>
      </c>
      <c r="G50" s="10" t="str">
        <f t="shared" si="2"/>
        <v>0</v>
      </c>
    </row>
    <row r="51" spans="1:7">
      <c r="A51" s="17" t="str">
        <f>IF('EDC&amp;EDP_FuncList'!$A50= "", "",'EDC&amp;EDP_FuncList'!$A50)</f>
        <v/>
      </c>
      <c r="B51" s="4"/>
      <c r="C51" s="4"/>
      <c r="D51" s="4"/>
      <c r="E51" s="7" t="str">
        <f t="shared" si="0"/>
        <v/>
      </c>
      <c r="F51" s="8" t="str">
        <f t="shared" si="1"/>
        <v/>
      </c>
      <c r="G51" s="10" t="str">
        <f t="shared" si="2"/>
        <v>0</v>
      </c>
    </row>
    <row r="52" spans="1:7">
      <c r="A52" s="17" t="str">
        <f>IF('EDC&amp;EDP_FuncList'!$A51= "", "",'EDC&amp;EDP_FuncList'!$A51)</f>
        <v/>
      </c>
      <c r="B52" s="4"/>
      <c r="C52" s="4"/>
      <c r="D52" s="4"/>
      <c r="E52" s="7" t="str">
        <f t="shared" si="0"/>
        <v/>
      </c>
      <c r="F52" s="8" t="str">
        <f t="shared" si="1"/>
        <v/>
      </c>
      <c r="G52" s="10" t="str">
        <f t="shared" si="2"/>
        <v>0</v>
      </c>
    </row>
    <row r="53" spans="1:7">
      <c r="A53" s="17" t="str">
        <f>IF('EDC&amp;EDP_FuncList'!$A52= "", "",'EDC&amp;EDP_FuncList'!$A52)</f>
        <v/>
      </c>
      <c r="B53" s="4"/>
      <c r="C53" s="4"/>
      <c r="D53" s="4"/>
      <c r="E53" s="7" t="str">
        <f t="shared" si="0"/>
        <v/>
      </c>
      <c r="F53" s="8" t="str">
        <f t="shared" si="1"/>
        <v/>
      </c>
      <c r="G53" s="10" t="str">
        <f t="shared" si="2"/>
        <v>0</v>
      </c>
    </row>
    <row r="54" spans="1:7">
      <c r="A54" s="17" t="str">
        <f>IF('EDC&amp;EDP_FuncList'!$A53= "", "",'EDC&amp;EDP_FuncList'!$A53)</f>
        <v/>
      </c>
      <c r="B54" s="4"/>
      <c r="C54" s="4"/>
      <c r="D54" s="4"/>
      <c r="E54" s="7" t="str">
        <f t="shared" si="0"/>
        <v/>
      </c>
      <c r="F54" s="8" t="str">
        <f t="shared" si="1"/>
        <v/>
      </c>
      <c r="G54" s="10" t="str">
        <f t="shared" si="2"/>
        <v>0</v>
      </c>
    </row>
    <row r="55" spans="1:7">
      <c r="A55" s="17" t="str">
        <f>IF('EDC&amp;EDP_FuncList'!$A54= "", "",'EDC&amp;EDP_FuncList'!$A54)</f>
        <v/>
      </c>
      <c r="B55" s="4"/>
      <c r="C55" s="4"/>
      <c r="D55" s="4"/>
      <c r="E55" s="7" t="str">
        <f t="shared" si="0"/>
        <v/>
      </c>
      <c r="F55" s="8" t="str">
        <f t="shared" si="1"/>
        <v/>
      </c>
      <c r="G55" s="10" t="str">
        <f t="shared" si="2"/>
        <v>0</v>
      </c>
    </row>
    <row r="56" spans="1:7">
      <c r="A56" s="17" t="str">
        <f>IF('EDC&amp;EDP_FuncList'!$A55= "", "",'EDC&amp;EDP_FuncList'!$A55)</f>
        <v/>
      </c>
      <c r="B56" s="4"/>
      <c r="C56" s="4"/>
      <c r="D56" s="4"/>
      <c r="E56" s="7" t="str">
        <f t="shared" si="0"/>
        <v/>
      </c>
      <c r="F56" s="8" t="str">
        <f t="shared" si="1"/>
        <v/>
      </c>
      <c r="G56" s="10" t="str">
        <f t="shared" si="2"/>
        <v>0</v>
      </c>
    </row>
    <row r="57" spans="1:7">
      <c r="A57" s="17" t="str">
        <f>IF('EDC&amp;EDP_FuncList'!$A56= "", "",'EDC&amp;EDP_FuncList'!$A56)</f>
        <v/>
      </c>
      <c r="B57" s="4"/>
      <c r="C57" s="4"/>
      <c r="D57" s="4"/>
      <c r="E57" s="7" t="str">
        <f t="shared" si="0"/>
        <v/>
      </c>
      <c r="F57" s="8" t="str">
        <f t="shared" si="1"/>
        <v/>
      </c>
      <c r="G57" s="10" t="str">
        <f t="shared" si="2"/>
        <v>0</v>
      </c>
    </row>
    <row r="58" spans="1:7">
      <c r="A58" s="17" t="str">
        <f>IF('EDC&amp;EDP_FuncList'!$A57= "", "",'EDC&amp;EDP_FuncList'!$A57)</f>
        <v/>
      </c>
      <c r="B58" s="4"/>
      <c r="C58" s="4"/>
      <c r="D58" s="4"/>
      <c r="E58" s="7" t="str">
        <f t="shared" si="0"/>
        <v/>
      </c>
      <c r="F58" s="8" t="str">
        <f t="shared" si="1"/>
        <v/>
      </c>
      <c r="G58" s="10" t="str">
        <f t="shared" si="2"/>
        <v>0</v>
      </c>
    </row>
    <row r="59" spans="1:7">
      <c r="A59" s="17" t="str">
        <f>IF('EDC&amp;EDP_FuncList'!$A58= "", "",'EDC&amp;EDP_FuncList'!$A58)</f>
        <v/>
      </c>
      <c r="B59" s="4"/>
      <c r="C59" s="4"/>
      <c r="D59" s="4"/>
      <c r="E59" s="7" t="str">
        <f t="shared" si="0"/>
        <v/>
      </c>
      <c r="F59" s="8" t="str">
        <f t="shared" si="1"/>
        <v/>
      </c>
      <c r="G59" s="10" t="str">
        <f t="shared" si="2"/>
        <v>0</v>
      </c>
    </row>
    <row r="60" spans="1:7">
      <c r="A60" s="17" t="str">
        <f>IF('EDC&amp;EDP_FuncList'!$A59= "", "",'EDC&amp;EDP_FuncList'!$A59)</f>
        <v/>
      </c>
      <c r="B60" s="4"/>
      <c r="C60" s="4"/>
      <c r="D60" s="4"/>
      <c r="E60" s="7" t="str">
        <f t="shared" si="0"/>
        <v/>
      </c>
      <c r="F60" s="8" t="str">
        <f t="shared" si="1"/>
        <v/>
      </c>
      <c r="G60" s="10" t="str">
        <f t="shared" si="2"/>
        <v>0</v>
      </c>
    </row>
    <row r="61" spans="1:7">
      <c r="A61" s="17" t="str">
        <f>IF('EDC&amp;EDP_FuncList'!$A60= "", "",'EDC&amp;EDP_FuncList'!$A60)</f>
        <v/>
      </c>
      <c r="B61" s="4"/>
      <c r="C61" s="4"/>
      <c r="D61" s="4"/>
      <c r="E61" s="7" t="str">
        <f t="shared" si="0"/>
        <v/>
      </c>
      <c r="F61" s="8" t="str">
        <f t="shared" si="1"/>
        <v/>
      </c>
      <c r="G61" s="10" t="str">
        <f t="shared" si="2"/>
        <v>0</v>
      </c>
    </row>
    <row r="62" spans="1:7">
      <c r="A62" s="17" t="str">
        <f>IF('EDC&amp;EDP_FuncList'!$A61= "", "",'EDC&amp;EDP_FuncList'!$A61)</f>
        <v/>
      </c>
      <c r="B62" s="4"/>
      <c r="C62" s="4"/>
      <c r="D62" s="4"/>
      <c r="E62" s="7" t="str">
        <f t="shared" si="0"/>
        <v/>
      </c>
      <c r="F62" s="8" t="str">
        <f t="shared" si="1"/>
        <v/>
      </c>
      <c r="G62" s="10" t="str">
        <f t="shared" si="2"/>
        <v>0</v>
      </c>
    </row>
    <row r="63" spans="1:7">
      <c r="A63" s="17" t="str">
        <f>IF('EDC&amp;EDP_FuncList'!$A62= "", "",'EDC&amp;EDP_FuncList'!$A62)</f>
        <v/>
      </c>
      <c r="B63" s="4"/>
      <c r="C63" s="4"/>
      <c r="D63" s="4"/>
      <c r="E63" s="7" t="str">
        <f t="shared" si="0"/>
        <v/>
      </c>
      <c r="F63" s="8" t="str">
        <f t="shared" si="1"/>
        <v/>
      </c>
      <c r="G63" s="10" t="str">
        <f t="shared" si="2"/>
        <v>0</v>
      </c>
    </row>
    <row r="64" spans="1:7">
      <c r="A64" s="17" t="str">
        <f>IF('EDC&amp;EDP_FuncList'!$A63= "", "",'EDC&amp;EDP_FuncList'!$A63)</f>
        <v/>
      </c>
      <c r="B64" s="4"/>
      <c r="C64" s="4"/>
      <c r="D64" s="4"/>
      <c r="E64" s="7" t="str">
        <f t="shared" si="0"/>
        <v/>
      </c>
      <c r="F64" s="8" t="str">
        <f t="shared" si="1"/>
        <v/>
      </c>
      <c r="G64" s="10" t="str">
        <f t="shared" si="2"/>
        <v>0</v>
      </c>
    </row>
    <row r="65" spans="1:7">
      <c r="A65" s="17" t="str">
        <f>IF('EDC&amp;EDP_FuncList'!$A64= "", "",'EDC&amp;EDP_FuncList'!$A64)</f>
        <v/>
      </c>
      <c r="B65" s="4"/>
      <c r="C65" s="4"/>
      <c r="D65" s="4"/>
      <c r="E65" s="7" t="str">
        <f t="shared" si="0"/>
        <v/>
      </c>
      <c r="F65" s="8" t="str">
        <f t="shared" si="1"/>
        <v/>
      </c>
      <c r="G65" s="10" t="str">
        <f t="shared" si="2"/>
        <v>0</v>
      </c>
    </row>
    <row r="66" spans="1:7">
      <c r="A66" s="17" t="str">
        <f>IF('EDC&amp;EDP_FuncList'!$A65= "", "",'EDC&amp;EDP_FuncList'!$A65)</f>
        <v/>
      </c>
      <c r="B66" s="4"/>
      <c r="C66" s="4"/>
      <c r="D66" s="4"/>
      <c r="E66" s="7" t="str">
        <f t="shared" si="0"/>
        <v/>
      </c>
      <c r="F66" s="8" t="str">
        <f t="shared" si="1"/>
        <v/>
      </c>
      <c r="G66" s="10" t="str">
        <f t="shared" si="2"/>
        <v>0</v>
      </c>
    </row>
    <row r="67" spans="1:7">
      <c r="A67" s="17" t="str">
        <f>IF('EDC&amp;EDP_FuncList'!$A66= "", "",'EDC&amp;EDP_FuncList'!$A66)</f>
        <v/>
      </c>
      <c r="B67" s="4"/>
      <c r="C67" s="4"/>
      <c r="D67" s="4"/>
      <c r="E67" s="7" t="str">
        <f t="shared" si="0"/>
        <v/>
      </c>
      <c r="F67" s="8" t="str">
        <f t="shared" si="1"/>
        <v/>
      </c>
      <c r="G67" s="10" t="str">
        <f t="shared" si="2"/>
        <v>0</v>
      </c>
    </row>
    <row r="68" spans="1:7">
      <c r="A68" s="17" t="str">
        <f>IF('EDC&amp;EDP_FuncList'!$A67= "", "",'EDC&amp;EDP_FuncList'!$A67)</f>
        <v/>
      </c>
      <c r="B68" s="4"/>
      <c r="C68" s="4"/>
      <c r="D68" s="4"/>
      <c r="E68" s="7" t="str">
        <f t="shared" si="0"/>
        <v/>
      </c>
      <c r="F68" s="8" t="str">
        <f t="shared" si="1"/>
        <v/>
      </c>
      <c r="G68" s="10" t="str">
        <f t="shared" si="2"/>
        <v>0</v>
      </c>
    </row>
    <row r="69" spans="1:7">
      <c r="A69" s="17" t="str">
        <f>IF('EDC&amp;EDP_FuncList'!$A68= "", "",'EDC&amp;EDP_FuncList'!$A68)</f>
        <v/>
      </c>
      <c r="B69" s="4"/>
      <c r="C69" s="4"/>
      <c r="D69" s="4"/>
      <c r="E69" s="7" t="str">
        <f t="shared" ref="E69:E132" si="3">IF((B69+4*C69+D69)/6 =0,"",(B69+4*C69+D69)/6)</f>
        <v/>
      </c>
      <c r="F69" s="8" t="str">
        <f t="shared" ref="F69:F132" si="4">IF(E69&lt;&gt;"",((D69-B69)/6)/E69,"")</f>
        <v/>
      </c>
      <c r="G69" s="10" t="str">
        <f t="shared" ref="G69:G132" si="5">IF(E69="","0",E69)</f>
        <v>0</v>
      </c>
    </row>
    <row r="70" spans="1:7">
      <c r="A70" s="17" t="str">
        <f>IF('EDC&amp;EDP_FuncList'!$A69= "", "",'EDC&amp;EDP_FuncList'!$A69)</f>
        <v/>
      </c>
      <c r="B70" s="4"/>
      <c r="C70" s="4"/>
      <c r="D70" s="4"/>
      <c r="E70" s="7" t="str">
        <f t="shared" si="3"/>
        <v/>
      </c>
      <c r="F70" s="8" t="str">
        <f t="shared" si="4"/>
        <v/>
      </c>
      <c r="G70" s="10" t="str">
        <f t="shared" si="5"/>
        <v>0</v>
      </c>
    </row>
    <row r="71" spans="1:7">
      <c r="A71" s="17" t="str">
        <f>IF('EDC&amp;EDP_FuncList'!$A70= "", "",'EDC&amp;EDP_FuncList'!$A70)</f>
        <v/>
      </c>
      <c r="B71" s="4"/>
      <c r="C71" s="4"/>
      <c r="D71" s="4"/>
      <c r="E71" s="7" t="str">
        <f t="shared" si="3"/>
        <v/>
      </c>
      <c r="F71" s="8" t="str">
        <f t="shared" si="4"/>
        <v/>
      </c>
      <c r="G71" s="10" t="str">
        <f t="shared" si="5"/>
        <v>0</v>
      </c>
    </row>
    <row r="72" spans="1:7">
      <c r="A72" s="17" t="str">
        <f>IF('EDC&amp;EDP_FuncList'!$A71= "", "",'EDC&amp;EDP_FuncList'!$A71)</f>
        <v/>
      </c>
      <c r="B72" s="4"/>
      <c r="C72" s="4"/>
      <c r="D72" s="4"/>
      <c r="E72" s="7" t="str">
        <f t="shared" si="3"/>
        <v/>
      </c>
      <c r="F72" s="8" t="str">
        <f t="shared" si="4"/>
        <v/>
      </c>
      <c r="G72" s="10" t="str">
        <f t="shared" si="5"/>
        <v>0</v>
      </c>
    </row>
    <row r="73" spans="1:7">
      <c r="A73" s="17" t="str">
        <f>IF('EDC&amp;EDP_FuncList'!$A72= "", "",'EDC&amp;EDP_FuncList'!$A72)</f>
        <v/>
      </c>
      <c r="B73" s="4"/>
      <c r="C73" s="4"/>
      <c r="D73" s="4"/>
      <c r="E73" s="7" t="str">
        <f t="shared" si="3"/>
        <v/>
      </c>
      <c r="F73" s="8" t="str">
        <f t="shared" si="4"/>
        <v/>
      </c>
      <c r="G73" s="10" t="str">
        <f t="shared" si="5"/>
        <v>0</v>
      </c>
    </row>
    <row r="74" spans="1:7">
      <c r="A74" s="17" t="str">
        <f>IF('EDC&amp;EDP_FuncList'!$A73= "", "",'EDC&amp;EDP_FuncList'!$A73)</f>
        <v/>
      </c>
      <c r="B74" s="4"/>
      <c r="C74" s="4"/>
      <c r="D74" s="4"/>
      <c r="E74" s="7" t="str">
        <f t="shared" si="3"/>
        <v/>
      </c>
      <c r="F74" s="8" t="str">
        <f t="shared" si="4"/>
        <v/>
      </c>
      <c r="G74" s="10" t="str">
        <f t="shared" si="5"/>
        <v>0</v>
      </c>
    </row>
    <row r="75" spans="1:7">
      <c r="A75" s="17" t="str">
        <f>IF('EDC&amp;EDP_FuncList'!$A74= "", "",'EDC&amp;EDP_FuncList'!$A74)</f>
        <v/>
      </c>
      <c r="B75" s="4"/>
      <c r="C75" s="4"/>
      <c r="D75" s="4"/>
      <c r="E75" s="7" t="str">
        <f t="shared" si="3"/>
        <v/>
      </c>
      <c r="F75" s="8" t="str">
        <f t="shared" si="4"/>
        <v/>
      </c>
      <c r="G75" s="10" t="str">
        <f t="shared" si="5"/>
        <v>0</v>
      </c>
    </row>
    <row r="76" spans="1:7">
      <c r="A76" s="17" t="str">
        <f>IF('EDC&amp;EDP_FuncList'!$A75= "", "",'EDC&amp;EDP_FuncList'!$A75)</f>
        <v/>
      </c>
      <c r="B76" s="4"/>
      <c r="C76" s="4"/>
      <c r="D76" s="4"/>
      <c r="E76" s="7" t="str">
        <f t="shared" si="3"/>
        <v/>
      </c>
      <c r="F76" s="8" t="str">
        <f t="shared" si="4"/>
        <v/>
      </c>
      <c r="G76" s="10" t="str">
        <f t="shared" si="5"/>
        <v>0</v>
      </c>
    </row>
    <row r="77" spans="1:7">
      <c r="A77" s="17" t="str">
        <f>IF('EDC&amp;EDP_FuncList'!$A76= "", "",'EDC&amp;EDP_FuncList'!$A76)</f>
        <v/>
      </c>
      <c r="B77" s="4"/>
      <c r="C77" s="4"/>
      <c r="D77" s="4"/>
      <c r="E77" s="7" t="str">
        <f t="shared" si="3"/>
        <v/>
      </c>
      <c r="F77" s="8" t="str">
        <f t="shared" si="4"/>
        <v/>
      </c>
      <c r="G77" s="10" t="str">
        <f t="shared" si="5"/>
        <v>0</v>
      </c>
    </row>
    <row r="78" spans="1:7">
      <c r="A78" s="17" t="str">
        <f>IF('EDC&amp;EDP_FuncList'!$A77= "", "",'EDC&amp;EDP_FuncList'!$A77)</f>
        <v/>
      </c>
      <c r="B78" s="4"/>
      <c r="C78" s="4"/>
      <c r="D78" s="4"/>
      <c r="E78" s="7" t="str">
        <f t="shared" si="3"/>
        <v/>
      </c>
      <c r="F78" s="8" t="str">
        <f t="shared" si="4"/>
        <v/>
      </c>
      <c r="G78" s="10" t="str">
        <f t="shared" si="5"/>
        <v>0</v>
      </c>
    </row>
    <row r="79" spans="1:7">
      <c r="A79" s="17" t="str">
        <f>IF('EDC&amp;EDP_FuncList'!$A78= "", "",'EDC&amp;EDP_FuncList'!$A78)</f>
        <v/>
      </c>
      <c r="B79" s="4"/>
      <c r="C79" s="4"/>
      <c r="D79" s="4"/>
      <c r="E79" s="7" t="str">
        <f t="shared" si="3"/>
        <v/>
      </c>
      <c r="F79" s="8" t="str">
        <f t="shared" si="4"/>
        <v/>
      </c>
      <c r="G79" s="10" t="str">
        <f t="shared" si="5"/>
        <v>0</v>
      </c>
    </row>
    <row r="80" spans="1:7">
      <c r="A80" s="17" t="str">
        <f>IF('EDC&amp;EDP_FuncList'!$A79= "", "",'EDC&amp;EDP_FuncList'!$A79)</f>
        <v/>
      </c>
      <c r="B80" s="4"/>
      <c r="C80" s="4"/>
      <c r="D80" s="4"/>
      <c r="E80" s="7" t="str">
        <f t="shared" si="3"/>
        <v/>
      </c>
      <c r="F80" s="8" t="str">
        <f t="shared" si="4"/>
        <v/>
      </c>
      <c r="G80" s="10" t="str">
        <f t="shared" si="5"/>
        <v>0</v>
      </c>
    </row>
    <row r="81" spans="1:7">
      <c r="A81" s="17" t="str">
        <f>IF('EDC&amp;EDP_FuncList'!$A80= "", "",'EDC&amp;EDP_FuncList'!$A80)</f>
        <v/>
      </c>
      <c r="B81" s="4"/>
      <c r="C81" s="4"/>
      <c r="D81" s="4"/>
      <c r="E81" s="7" t="str">
        <f t="shared" si="3"/>
        <v/>
      </c>
      <c r="F81" s="8" t="str">
        <f t="shared" si="4"/>
        <v/>
      </c>
      <c r="G81" s="10" t="str">
        <f t="shared" si="5"/>
        <v>0</v>
      </c>
    </row>
    <row r="82" spans="1:7">
      <c r="A82" s="17" t="str">
        <f>IF('EDC&amp;EDP_FuncList'!$A81= "", "",'EDC&amp;EDP_FuncList'!$A81)</f>
        <v/>
      </c>
      <c r="B82" s="4"/>
      <c r="C82" s="4"/>
      <c r="D82" s="4"/>
      <c r="E82" s="7" t="str">
        <f t="shared" si="3"/>
        <v/>
      </c>
      <c r="F82" s="8" t="str">
        <f t="shared" si="4"/>
        <v/>
      </c>
      <c r="G82" s="10" t="str">
        <f t="shared" si="5"/>
        <v>0</v>
      </c>
    </row>
    <row r="83" spans="1:7">
      <c r="A83" s="17" t="str">
        <f>IF('EDC&amp;EDP_FuncList'!$A82= "", "",'EDC&amp;EDP_FuncList'!$A82)</f>
        <v/>
      </c>
      <c r="B83" s="4"/>
      <c r="C83" s="4"/>
      <c r="D83" s="4"/>
      <c r="E83" s="7" t="str">
        <f t="shared" si="3"/>
        <v/>
      </c>
      <c r="F83" s="8" t="str">
        <f t="shared" si="4"/>
        <v/>
      </c>
      <c r="G83" s="10" t="str">
        <f t="shared" si="5"/>
        <v>0</v>
      </c>
    </row>
    <row r="84" spans="1:7">
      <c r="A84" s="17" t="str">
        <f>IF('EDC&amp;EDP_FuncList'!$A83= "", "",'EDC&amp;EDP_FuncList'!$A83)</f>
        <v/>
      </c>
      <c r="B84" s="4"/>
      <c r="C84" s="4"/>
      <c r="D84" s="4"/>
      <c r="E84" s="7" t="str">
        <f t="shared" si="3"/>
        <v/>
      </c>
      <c r="F84" s="8" t="str">
        <f t="shared" si="4"/>
        <v/>
      </c>
      <c r="G84" s="10" t="str">
        <f t="shared" si="5"/>
        <v>0</v>
      </c>
    </row>
    <row r="85" spans="1:7">
      <c r="A85" s="17" t="str">
        <f>IF('EDC&amp;EDP_FuncList'!$A84= "", "",'EDC&amp;EDP_FuncList'!$A84)</f>
        <v/>
      </c>
      <c r="B85" s="4"/>
      <c r="C85" s="4"/>
      <c r="D85" s="4"/>
      <c r="E85" s="7" t="str">
        <f t="shared" si="3"/>
        <v/>
      </c>
      <c r="F85" s="8" t="str">
        <f t="shared" si="4"/>
        <v/>
      </c>
      <c r="G85" s="10" t="str">
        <f t="shared" si="5"/>
        <v>0</v>
      </c>
    </row>
    <row r="86" spans="1:7">
      <c r="A86" s="17" t="str">
        <f>IF('EDC&amp;EDP_FuncList'!$A85= "", "",'EDC&amp;EDP_FuncList'!$A85)</f>
        <v/>
      </c>
      <c r="B86" s="4"/>
      <c r="C86" s="4"/>
      <c r="D86" s="4"/>
      <c r="E86" s="7" t="str">
        <f t="shared" si="3"/>
        <v/>
      </c>
      <c r="F86" s="8" t="str">
        <f t="shared" si="4"/>
        <v/>
      </c>
      <c r="G86" s="10" t="str">
        <f t="shared" si="5"/>
        <v>0</v>
      </c>
    </row>
    <row r="87" spans="1:7">
      <c r="A87" s="17" t="str">
        <f>IF('EDC&amp;EDP_FuncList'!$A86= "", "",'EDC&amp;EDP_FuncList'!$A86)</f>
        <v/>
      </c>
      <c r="B87" s="4"/>
      <c r="C87" s="4"/>
      <c r="D87" s="4"/>
      <c r="E87" s="7" t="str">
        <f t="shared" si="3"/>
        <v/>
      </c>
      <c r="F87" s="8" t="str">
        <f t="shared" si="4"/>
        <v/>
      </c>
      <c r="G87" s="10" t="str">
        <f t="shared" si="5"/>
        <v>0</v>
      </c>
    </row>
    <row r="88" spans="1:7">
      <c r="A88" s="17" t="str">
        <f>IF('EDC&amp;EDP_FuncList'!$A87= "", "",'EDC&amp;EDP_FuncList'!$A87)</f>
        <v/>
      </c>
      <c r="B88" s="4"/>
      <c r="C88" s="4"/>
      <c r="D88" s="4"/>
      <c r="E88" s="7" t="str">
        <f t="shared" si="3"/>
        <v/>
      </c>
      <c r="F88" s="8" t="str">
        <f t="shared" si="4"/>
        <v/>
      </c>
      <c r="G88" s="10" t="str">
        <f t="shared" si="5"/>
        <v>0</v>
      </c>
    </row>
    <row r="89" spans="1:7">
      <c r="A89" s="17" t="str">
        <f>IF('EDC&amp;EDP_FuncList'!$A88= "", "",'EDC&amp;EDP_FuncList'!$A88)</f>
        <v/>
      </c>
      <c r="B89" s="4"/>
      <c r="C89" s="4"/>
      <c r="D89" s="4"/>
      <c r="E89" s="7" t="str">
        <f t="shared" si="3"/>
        <v/>
      </c>
      <c r="F89" s="8" t="str">
        <f t="shared" si="4"/>
        <v/>
      </c>
      <c r="G89" s="10" t="str">
        <f t="shared" si="5"/>
        <v>0</v>
      </c>
    </row>
    <row r="90" spans="1:7">
      <c r="A90" s="17" t="str">
        <f>IF('EDC&amp;EDP_FuncList'!$A89= "", "",'EDC&amp;EDP_FuncList'!$A89)</f>
        <v/>
      </c>
      <c r="B90" s="4"/>
      <c r="C90" s="4"/>
      <c r="D90" s="4"/>
      <c r="E90" s="7" t="str">
        <f t="shared" si="3"/>
        <v/>
      </c>
      <c r="F90" s="8" t="str">
        <f t="shared" si="4"/>
        <v/>
      </c>
      <c r="G90" s="10" t="str">
        <f t="shared" si="5"/>
        <v>0</v>
      </c>
    </row>
    <row r="91" spans="1:7">
      <c r="A91" s="17" t="str">
        <f>IF('EDC&amp;EDP_FuncList'!$A90= "", "",'EDC&amp;EDP_FuncList'!$A90)</f>
        <v/>
      </c>
      <c r="B91" s="4"/>
      <c r="C91" s="4"/>
      <c r="D91" s="4"/>
      <c r="E91" s="7" t="str">
        <f t="shared" si="3"/>
        <v/>
      </c>
      <c r="F91" s="8" t="str">
        <f t="shared" si="4"/>
        <v/>
      </c>
      <c r="G91" s="10" t="str">
        <f t="shared" si="5"/>
        <v>0</v>
      </c>
    </row>
    <row r="92" spans="1:7">
      <c r="A92" s="17" t="str">
        <f>IF('EDC&amp;EDP_FuncList'!$A91= "", "",'EDC&amp;EDP_FuncList'!$A91)</f>
        <v/>
      </c>
      <c r="B92" s="4"/>
      <c r="C92" s="4"/>
      <c r="D92" s="4"/>
      <c r="E92" s="7" t="str">
        <f t="shared" si="3"/>
        <v/>
      </c>
      <c r="F92" s="8" t="str">
        <f t="shared" si="4"/>
        <v/>
      </c>
      <c r="G92" s="10" t="str">
        <f t="shared" si="5"/>
        <v>0</v>
      </c>
    </row>
    <row r="93" spans="1:7">
      <c r="A93" s="17" t="str">
        <f>IF('EDC&amp;EDP_FuncList'!$A92= "", "",'EDC&amp;EDP_FuncList'!$A92)</f>
        <v/>
      </c>
      <c r="B93" s="4"/>
      <c r="C93" s="4"/>
      <c r="D93" s="4"/>
      <c r="E93" s="7" t="str">
        <f t="shared" si="3"/>
        <v/>
      </c>
      <c r="F93" s="8" t="str">
        <f t="shared" si="4"/>
        <v/>
      </c>
      <c r="G93" s="10" t="str">
        <f t="shared" si="5"/>
        <v>0</v>
      </c>
    </row>
    <row r="94" spans="1:7">
      <c r="A94" s="17" t="str">
        <f>IF('EDC&amp;EDP_FuncList'!$A93= "", "",'EDC&amp;EDP_FuncList'!$A93)</f>
        <v/>
      </c>
      <c r="B94" s="4"/>
      <c r="C94" s="4"/>
      <c r="D94" s="4"/>
      <c r="E94" s="7" t="str">
        <f t="shared" si="3"/>
        <v/>
      </c>
      <c r="F94" s="8" t="str">
        <f t="shared" si="4"/>
        <v/>
      </c>
      <c r="G94" s="10" t="str">
        <f t="shared" si="5"/>
        <v>0</v>
      </c>
    </row>
    <row r="95" spans="1:7">
      <c r="A95" s="17" t="str">
        <f>IF('EDC&amp;EDP_FuncList'!$A94= "", "",'EDC&amp;EDP_FuncList'!$A94)</f>
        <v/>
      </c>
      <c r="B95" s="4"/>
      <c r="C95" s="4"/>
      <c r="D95" s="4"/>
      <c r="E95" s="7" t="str">
        <f t="shared" si="3"/>
        <v/>
      </c>
      <c r="F95" s="8" t="str">
        <f t="shared" si="4"/>
        <v/>
      </c>
      <c r="G95" s="10" t="str">
        <f t="shared" si="5"/>
        <v>0</v>
      </c>
    </row>
    <row r="96" spans="1:7">
      <c r="A96" s="17" t="str">
        <f>IF('EDC&amp;EDP_FuncList'!$A95= "", "",'EDC&amp;EDP_FuncList'!$A95)</f>
        <v/>
      </c>
      <c r="B96" s="4"/>
      <c r="C96" s="4"/>
      <c r="D96" s="4"/>
      <c r="E96" s="7" t="str">
        <f t="shared" si="3"/>
        <v/>
      </c>
      <c r="F96" s="8" t="str">
        <f t="shared" si="4"/>
        <v/>
      </c>
      <c r="G96" s="10" t="str">
        <f t="shared" si="5"/>
        <v>0</v>
      </c>
    </row>
    <row r="97" spans="1:7">
      <c r="A97" s="17" t="str">
        <f>IF('EDC&amp;EDP_FuncList'!$A96= "", "",'EDC&amp;EDP_FuncList'!$A96)</f>
        <v/>
      </c>
      <c r="B97" s="4"/>
      <c r="C97" s="4"/>
      <c r="D97" s="4"/>
      <c r="E97" s="7" t="str">
        <f t="shared" si="3"/>
        <v/>
      </c>
      <c r="F97" s="8" t="str">
        <f t="shared" si="4"/>
        <v/>
      </c>
      <c r="G97" s="10" t="str">
        <f t="shared" si="5"/>
        <v>0</v>
      </c>
    </row>
    <row r="98" spans="1:7">
      <c r="A98" s="17" t="str">
        <f>IF('EDC&amp;EDP_FuncList'!$A97= "", "",'EDC&amp;EDP_FuncList'!$A97)</f>
        <v/>
      </c>
      <c r="B98" s="4"/>
      <c r="C98" s="4"/>
      <c r="D98" s="4"/>
      <c r="E98" s="7" t="str">
        <f t="shared" si="3"/>
        <v/>
      </c>
      <c r="F98" s="8" t="str">
        <f t="shared" si="4"/>
        <v/>
      </c>
      <c r="G98" s="10" t="str">
        <f t="shared" si="5"/>
        <v>0</v>
      </c>
    </row>
    <row r="99" spans="1:7">
      <c r="A99" s="17" t="str">
        <f>IF('EDC&amp;EDP_FuncList'!$A98= "", "",'EDC&amp;EDP_FuncList'!$A98)</f>
        <v/>
      </c>
      <c r="B99" s="4"/>
      <c r="C99" s="4"/>
      <c r="D99" s="4"/>
      <c r="E99" s="7" t="str">
        <f t="shared" si="3"/>
        <v/>
      </c>
      <c r="F99" s="8" t="str">
        <f t="shared" si="4"/>
        <v/>
      </c>
      <c r="G99" s="10" t="str">
        <f t="shared" si="5"/>
        <v>0</v>
      </c>
    </row>
    <row r="100" spans="1:7">
      <c r="A100" s="17" t="str">
        <f>IF('EDC&amp;EDP_FuncList'!$A99= "", "",'EDC&amp;EDP_FuncList'!$A99)</f>
        <v/>
      </c>
      <c r="B100" s="4"/>
      <c r="C100" s="4"/>
      <c r="D100" s="4"/>
      <c r="E100" s="7" t="str">
        <f t="shared" si="3"/>
        <v/>
      </c>
      <c r="F100" s="8" t="str">
        <f t="shared" si="4"/>
        <v/>
      </c>
      <c r="G100" s="10" t="str">
        <f t="shared" si="5"/>
        <v>0</v>
      </c>
    </row>
    <row r="101" spans="1:7">
      <c r="A101" s="17" t="str">
        <f>IF('EDC&amp;EDP_FuncList'!$A100= "", "",'EDC&amp;EDP_FuncList'!$A100)</f>
        <v/>
      </c>
      <c r="B101" s="4"/>
      <c r="C101" s="4"/>
      <c r="D101" s="4"/>
      <c r="E101" s="7" t="str">
        <f t="shared" si="3"/>
        <v/>
      </c>
      <c r="F101" s="8" t="str">
        <f t="shared" si="4"/>
        <v/>
      </c>
      <c r="G101" s="10" t="str">
        <f t="shared" si="5"/>
        <v>0</v>
      </c>
    </row>
    <row r="102" spans="1:7">
      <c r="A102" s="17" t="str">
        <f>IF('EDC&amp;EDP_FuncList'!$A101= "", "",'EDC&amp;EDP_FuncList'!$A101)</f>
        <v/>
      </c>
      <c r="B102" s="4"/>
      <c r="C102" s="4"/>
      <c r="D102" s="4"/>
      <c r="E102" s="7" t="str">
        <f t="shared" si="3"/>
        <v/>
      </c>
      <c r="F102" s="8" t="str">
        <f t="shared" si="4"/>
        <v/>
      </c>
      <c r="G102" s="10" t="str">
        <f t="shared" si="5"/>
        <v>0</v>
      </c>
    </row>
    <row r="103" spans="1:7">
      <c r="A103" s="17" t="str">
        <f>IF('EDC&amp;EDP_FuncList'!$A102= "", "",'EDC&amp;EDP_FuncList'!$A102)</f>
        <v/>
      </c>
      <c r="B103" s="4"/>
      <c r="C103" s="4"/>
      <c r="D103" s="4"/>
      <c r="E103" s="7" t="str">
        <f t="shared" si="3"/>
        <v/>
      </c>
      <c r="F103" s="8" t="str">
        <f t="shared" si="4"/>
        <v/>
      </c>
      <c r="G103" s="10" t="str">
        <f t="shared" si="5"/>
        <v>0</v>
      </c>
    </row>
    <row r="104" spans="1:7">
      <c r="A104" s="17" t="str">
        <f>IF('EDC&amp;EDP_FuncList'!$A103= "", "",'EDC&amp;EDP_FuncList'!$A103)</f>
        <v/>
      </c>
      <c r="B104" s="4"/>
      <c r="C104" s="4"/>
      <c r="D104" s="4"/>
      <c r="E104" s="7" t="str">
        <f t="shared" si="3"/>
        <v/>
      </c>
      <c r="F104" s="8" t="str">
        <f t="shared" si="4"/>
        <v/>
      </c>
      <c r="G104" s="10" t="str">
        <f t="shared" si="5"/>
        <v>0</v>
      </c>
    </row>
    <row r="105" spans="1:7">
      <c r="A105" s="17" t="str">
        <f>IF('EDC&amp;EDP_FuncList'!$A104= "", "",'EDC&amp;EDP_FuncList'!$A104)</f>
        <v/>
      </c>
      <c r="B105" s="4"/>
      <c r="C105" s="4"/>
      <c r="D105" s="4"/>
      <c r="E105" s="7" t="str">
        <f t="shared" si="3"/>
        <v/>
      </c>
      <c r="F105" s="8" t="str">
        <f t="shared" si="4"/>
        <v/>
      </c>
      <c r="G105" s="10" t="str">
        <f t="shared" si="5"/>
        <v>0</v>
      </c>
    </row>
    <row r="106" spans="1:7">
      <c r="A106" s="17" t="str">
        <f>IF('EDC&amp;EDP_FuncList'!$A105= "", "",'EDC&amp;EDP_FuncList'!$A105)</f>
        <v/>
      </c>
      <c r="B106" s="4"/>
      <c r="C106" s="4"/>
      <c r="D106" s="4"/>
      <c r="E106" s="7" t="str">
        <f t="shared" si="3"/>
        <v/>
      </c>
      <c r="F106" s="8" t="str">
        <f t="shared" si="4"/>
        <v/>
      </c>
      <c r="G106" s="10" t="str">
        <f t="shared" si="5"/>
        <v>0</v>
      </c>
    </row>
    <row r="107" spans="1:7">
      <c r="A107" s="17" t="str">
        <f>IF('EDC&amp;EDP_FuncList'!$A106= "", "",'EDC&amp;EDP_FuncList'!$A106)</f>
        <v/>
      </c>
      <c r="B107" s="4"/>
      <c r="C107" s="4"/>
      <c r="D107" s="4"/>
      <c r="E107" s="7" t="str">
        <f t="shared" si="3"/>
        <v/>
      </c>
      <c r="F107" s="8" t="str">
        <f t="shared" si="4"/>
        <v/>
      </c>
      <c r="G107" s="10" t="str">
        <f t="shared" si="5"/>
        <v>0</v>
      </c>
    </row>
    <row r="108" spans="1:7">
      <c r="A108" s="17" t="str">
        <f>IF('EDC&amp;EDP_FuncList'!$A107= "", "",'EDC&amp;EDP_FuncList'!$A107)</f>
        <v/>
      </c>
      <c r="B108" s="4"/>
      <c r="C108" s="4"/>
      <c r="D108" s="4"/>
      <c r="E108" s="7" t="str">
        <f t="shared" si="3"/>
        <v/>
      </c>
      <c r="F108" s="8" t="str">
        <f t="shared" si="4"/>
        <v/>
      </c>
      <c r="G108" s="10" t="str">
        <f t="shared" si="5"/>
        <v>0</v>
      </c>
    </row>
    <row r="109" spans="1:7">
      <c r="A109" s="17" t="str">
        <f>IF('EDC&amp;EDP_FuncList'!$A108= "", "",'EDC&amp;EDP_FuncList'!$A108)</f>
        <v/>
      </c>
      <c r="B109" s="4"/>
      <c r="C109" s="4"/>
      <c r="D109" s="4"/>
      <c r="E109" s="7" t="str">
        <f t="shared" si="3"/>
        <v/>
      </c>
      <c r="F109" s="8" t="str">
        <f t="shared" si="4"/>
        <v/>
      </c>
      <c r="G109" s="10" t="str">
        <f t="shared" si="5"/>
        <v>0</v>
      </c>
    </row>
    <row r="110" spans="1:7">
      <c r="A110" s="17" t="str">
        <f>IF('EDC&amp;EDP_FuncList'!$A109= "", "",'EDC&amp;EDP_FuncList'!$A109)</f>
        <v/>
      </c>
      <c r="B110" s="4"/>
      <c r="C110" s="4"/>
      <c r="D110" s="4"/>
      <c r="E110" s="7" t="str">
        <f t="shared" si="3"/>
        <v/>
      </c>
      <c r="F110" s="8" t="str">
        <f t="shared" si="4"/>
        <v/>
      </c>
      <c r="G110" s="10" t="str">
        <f t="shared" si="5"/>
        <v>0</v>
      </c>
    </row>
    <row r="111" spans="1:7">
      <c r="A111" s="17" t="str">
        <f>IF('EDC&amp;EDP_FuncList'!$A110= "", "",'EDC&amp;EDP_FuncList'!$A110)</f>
        <v/>
      </c>
      <c r="B111" s="4"/>
      <c r="C111" s="4"/>
      <c r="D111" s="4"/>
      <c r="E111" s="7" t="str">
        <f t="shared" si="3"/>
        <v/>
      </c>
      <c r="F111" s="8" t="str">
        <f t="shared" si="4"/>
        <v/>
      </c>
      <c r="G111" s="10" t="str">
        <f t="shared" si="5"/>
        <v>0</v>
      </c>
    </row>
    <row r="112" spans="1:7">
      <c r="A112" s="17" t="str">
        <f>IF('EDC&amp;EDP_FuncList'!$A111= "", "",'EDC&amp;EDP_FuncList'!$A111)</f>
        <v/>
      </c>
      <c r="B112" s="4"/>
      <c r="C112" s="4"/>
      <c r="D112" s="4"/>
      <c r="E112" s="7" t="str">
        <f t="shared" si="3"/>
        <v/>
      </c>
      <c r="F112" s="8" t="str">
        <f t="shared" si="4"/>
        <v/>
      </c>
      <c r="G112" s="10" t="str">
        <f t="shared" si="5"/>
        <v>0</v>
      </c>
    </row>
    <row r="113" spans="1:7">
      <c r="A113" s="17" t="str">
        <f>IF('EDC&amp;EDP_FuncList'!$A112= "", "",'EDC&amp;EDP_FuncList'!$A112)</f>
        <v/>
      </c>
      <c r="B113" s="4"/>
      <c r="C113" s="4"/>
      <c r="D113" s="4"/>
      <c r="E113" s="7" t="str">
        <f t="shared" si="3"/>
        <v/>
      </c>
      <c r="F113" s="8" t="str">
        <f t="shared" si="4"/>
        <v/>
      </c>
      <c r="G113" s="10" t="str">
        <f t="shared" si="5"/>
        <v>0</v>
      </c>
    </row>
    <row r="114" spans="1:7">
      <c r="A114" s="17" t="str">
        <f>IF('EDC&amp;EDP_FuncList'!$A113= "", "",'EDC&amp;EDP_FuncList'!$A113)</f>
        <v/>
      </c>
      <c r="B114" s="4"/>
      <c r="C114" s="4"/>
      <c r="D114" s="4"/>
      <c r="E114" s="7" t="str">
        <f t="shared" si="3"/>
        <v/>
      </c>
      <c r="F114" s="8" t="str">
        <f t="shared" si="4"/>
        <v/>
      </c>
      <c r="G114" s="10" t="str">
        <f t="shared" si="5"/>
        <v>0</v>
      </c>
    </row>
    <row r="115" spans="1:7">
      <c r="A115" s="17" t="str">
        <f>IF('EDC&amp;EDP_FuncList'!$A114= "", "",'EDC&amp;EDP_FuncList'!$A114)</f>
        <v/>
      </c>
      <c r="B115" s="4"/>
      <c r="C115" s="4"/>
      <c r="D115" s="4"/>
      <c r="E115" s="7" t="str">
        <f t="shared" si="3"/>
        <v/>
      </c>
      <c r="F115" s="8" t="str">
        <f t="shared" si="4"/>
        <v/>
      </c>
      <c r="G115" s="10" t="str">
        <f t="shared" si="5"/>
        <v>0</v>
      </c>
    </row>
    <row r="116" spans="1:7">
      <c r="A116" s="17" t="str">
        <f>IF('EDC&amp;EDP_FuncList'!$A115= "", "",'EDC&amp;EDP_FuncList'!$A115)</f>
        <v/>
      </c>
      <c r="B116" s="4"/>
      <c r="C116" s="4"/>
      <c r="D116" s="4"/>
      <c r="E116" s="7" t="str">
        <f t="shared" si="3"/>
        <v/>
      </c>
      <c r="F116" s="8" t="str">
        <f t="shared" si="4"/>
        <v/>
      </c>
      <c r="G116" s="10" t="str">
        <f t="shared" si="5"/>
        <v>0</v>
      </c>
    </row>
    <row r="117" spans="1:7">
      <c r="A117" s="17" t="str">
        <f>IF('EDC&amp;EDP_FuncList'!$A116= "", "",'EDC&amp;EDP_FuncList'!$A116)</f>
        <v/>
      </c>
      <c r="B117" s="4"/>
      <c r="C117" s="4"/>
      <c r="D117" s="4"/>
      <c r="E117" s="7" t="str">
        <f t="shared" si="3"/>
        <v/>
      </c>
      <c r="F117" s="8" t="str">
        <f t="shared" si="4"/>
        <v/>
      </c>
      <c r="G117" s="10" t="str">
        <f t="shared" si="5"/>
        <v>0</v>
      </c>
    </row>
    <row r="118" spans="1:7">
      <c r="A118" s="17" t="str">
        <f>IF('EDC&amp;EDP_FuncList'!$A117= "", "",'EDC&amp;EDP_FuncList'!$A117)</f>
        <v/>
      </c>
      <c r="B118" s="4"/>
      <c r="C118" s="4"/>
      <c r="D118" s="4"/>
      <c r="E118" s="7" t="str">
        <f t="shared" si="3"/>
        <v/>
      </c>
      <c r="F118" s="8" t="str">
        <f t="shared" si="4"/>
        <v/>
      </c>
      <c r="G118" s="10" t="str">
        <f t="shared" si="5"/>
        <v>0</v>
      </c>
    </row>
    <row r="119" spans="1:7">
      <c r="A119" s="17" t="str">
        <f>IF('EDC&amp;EDP_FuncList'!$A118= "", "",'EDC&amp;EDP_FuncList'!$A118)</f>
        <v/>
      </c>
      <c r="B119" s="4"/>
      <c r="C119" s="4"/>
      <c r="D119" s="4"/>
      <c r="E119" s="7" t="str">
        <f t="shared" si="3"/>
        <v/>
      </c>
      <c r="F119" s="8" t="str">
        <f t="shared" si="4"/>
        <v/>
      </c>
      <c r="G119" s="10" t="str">
        <f t="shared" si="5"/>
        <v>0</v>
      </c>
    </row>
    <row r="120" spans="1:7">
      <c r="A120" s="17" t="str">
        <f>IF('EDC&amp;EDP_FuncList'!$A119= "", "",'EDC&amp;EDP_FuncList'!$A119)</f>
        <v/>
      </c>
      <c r="B120" s="4"/>
      <c r="C120" s="4"/>
      <c r="D120" s="4"/>
      <c r="E120" s="7" t="str">
        <f t="shared" si="3"/>
        <v/>
      </c>
      <c r="F120" s="8" t="str">
        <f t="shared" si="4"/>
        <v/>
      </c>
      <c r="G120" s="10" t="str">
        <f t="shared" si="5"/>
        <v>0</v>
      </c>
    </row>
    <row r="121" spans="1:7">
      <c r="A121" s="17" t="str">
        <f>IF('EDC&amp;EDP_FuncList'!$A120= "", "",'EDC&amp;EDP_FuncList'!$A120)</f>
        <v/>
      </c>
      <c r="B121" s="4"/>
      <c r="C121" s="4"/>
      <c r="D121" s="4"/>
      <c r="E121" s="7" t="str">
        <f t="shared" si="3"/>
        <v/>
      </c>
      <c r="F121" s="8" t="str">
        <f t="shared" si="4"/>
        <v/>
      </c>
      <c r="G121" s="10" t="str">
        <f t="shared" si="5"/>
        <v>0</v>
      </c>
    </row>
    <row r="122" spans="1:7">
      <c r="A122" s="17" t="str">
        <f>IF('EDC&amp;EDP_FuncList'!$A121= "", "",'EDC&amp;EDP_FuncList'!$A121)</f>
        <v/>
      </c>
      <c r="B122" s="4"/>
      <c r="C122" s="4"/>
      <c r="D122" s="4"/>
      <c r="E122" s="7" t="str">
        <f t="shared" si="3"/>
        <v/>
      </c>
      <c r="F122" s="8" t="str">
        <f t="shared" si="4"/>
        <v/>
      </c>
      <c r="G122" s="10" t="str">
        <f t="shared" si="5"/>
        <v>0</v>
      </c>
    </row>
    <row r="123" spans="1:7">
      <c r="A123" s="17" t="str">
        <f>IF('EDC&amp;EDP_FuncList'!$A122= "", "",'EDC&amp;EDP_FuncList'!$A122)</f>
        <v/>
      </c>
      <c r="B123" s="4"/>
      <c r="C123" s="4"/>
      <c r="D123" s="4"/>
      <c r="E123" s="7" t="str">
        <f t="shared" si="3"/>
        <v/>
      </c>
      <c r="F123" s="8" t="str">
        <f t="shared" si="4"/>
        <v/>
      </c>
      <c r="G123" s="10" t="str">
        <f t="shared" si="5"/>
        <v>0</v>
      </c>
    </row>
    <row r="124" spans="1:7">
      <c r="A124" s="17" t="str">
        <f>IF('EDC&amp;EDP_FuncList'!$A123= "", "",'EDC&amp;EDP_FuncList'!$A123)</f>
        <v/>
      </c>
      <c r="B124" s="4"/>
      <c r="C124" s="4"/>
      <c r="D124" s="4"/>
      <c r="E124" s="7" t="str">
        <f t="shared" si="3"/>
        <v/>
      </c>
      <c r="F124" s="8" t="str">
        <f t="shared" si="4"/>
        <v/>
      </c>
      <c r="G124" s="10" t="str">
        <f t="shared" si="5"/>
        <v>0</v>
      </c>
    </row>
    <row r="125" spans="1:7">
      <c r="A125" s="17" t="str">
        <f>IF('EDC&amp;EDP_FuncList'!$A124= "", "",'EDC&amp;EDP_FuncList'!$A124)</f>
        <v/>
      </c>
      <c r="B125" s="4"/>
      <c r="C125" s="4"/>
      <c r="D125" s="4"/>
      <c r="E125" s="7" t="str">
        <f t="shared" si="3"/>
        <v/>
      </c>
      <c r="F125" s="8" t="str">
        <f t="shared" si="4"/>
        <v/>
      </c>
      <c r="G125" s="10" t="str">
        <f t="shared" si="5"/>
        <v>0</v>
      </c>
    </row>
    <row r="126" spans="1:7">
      <c r="A126" s="17" t="str">
        <f>IF('EDC&amp;EDP_FuncList'!$A125= "", "",'EDC&amp;EDP_FuncList'!$A125)</f>
        <v/>
      </c>
      <c r="B126" s="4"/>
      <c r="C126" s="4"/>
      <c r="D126" s="4"/>
      <c r="E126" s="7" t="str">
        <f t="shared" si="3"/>
        <v/>
      </c>
      <c r="F126" s="8" t="str">
        <f t="shared" si="4"/>
        <v/>
      </c>
      <c r="G126" s="10" t="str">
        <f t="shared" si="5"/>
        <v>0</v>
      </c>
    </row>
    <row r="127" spans="1:7">
      <c r="A127" s="17" t="str">
        <f>IF('EDC&amp;EDP_FuncList'!$A126= "", "",'EDC&amp;EDP_FuncList'!$A126)</f>
        <v/>
      </c>
      <c r="B127" s="4"/>
      <c r="C127" s="4"/>
      <c r="D127" s="4"/>
      <c r="E127" s="7" t="str">
        <f t="shared" si="3"/>
        <v/>
      </c>
      <c r="F127" s="8" t="str">
        <f t="shared" si="4"/>
        <v/>
      </c>
      <c r="G127" s="10" t="str">
        <f t="shared" si="5"/>
        <v>0</v>
      </c>
    </row>
    <row r="128" spans="1:7">
      <c r="A128" s="17" t="str">
        <f>IF('EDC&amp;EDP_FuncList'!$A127= "", "",'EDC&amp;EDP_FuncList'!$A127)</f>
        <v/>
      </c>
      <c r="B128" s="4"/>
      <c r="C128" s="4"/>
      <c r="D128" s="4"/>
      <c r="E128" s="7" t="str">
        <f t="shared" si="3"/>
        <v/>
      </c>
      <c r="F128" s="8" t="str">
        <f t="shared" si="4"/>
        <v/>
      </c>
      <c r="G128" s="10" t="str">
        <f t="shared" si="5"/>
        <v>0</v>
      </c>
    </row>
    <row r="129" spans="1:7">
      <c r="A129" s="17" t="str">
        <f>IF('EDC&amp;EDP_FuncList'!$A128= "", "",'EDC&amp;EDP_FuncList'!$A128)</f>
        <v/>
      </c>
      <c r="B129" s="4"/>
      <c r="C129" s="4"/>
      <c r="D129" s="4"/>
      <c r="E129" s="7" t="str">
        <f t="shared" si="3"/>
        <v/>
      </c>
      <c r="F129" s="8" t="str">
        <f t="shared" si="4"/>
        <v/>
      </c>
      <c r="G129" s="10" t="str">
        <f t="shared" si="5"/>
        <v>0</v>
      </c>
    </row>
    <row r="130" spans="1:7">
      <c r="A130" s="17" t="str">
        <f>IF('EDC&amp;EDP_FuncList'!$A129= "", "",'EDC&amp;EDP_FuncList'!$A129)</f>
        <v/>
      </c>
      <c r="B130" s="4"/>
      <c r="C130" s="4"/>
      <c r="D130" s="4"/>
      <c r="E130" s="7" t="str">
        <f t="shared" si="3"/>
        <v/>
      </c>
      <c r="F130" s="8" t="str">
        <f t="shared" si="4"/>
        <v/>
      </c>
      <c r="G130" s="10" t="str">
        <f t="shared" si="5"/>
        <v>0</v>
      </c>
    </row>
    <row r="131" spans="1:7">
      <c r="A131" s="17" t="str">
        <f>IF('EDC&amp;EDP_FuncList'!$A130= "", "",'EDC&amp;EDP_FuncList'!$A130)</f>
        <v/>
      </c>
      <c r="B131" s="4"/>
      <c r="C131" s="4"/>
      <c r="D131" s="4"/>
      <c r="E131" s="7" t="str">
        <f t="shared" si="3"/>
        <v/>
      </c>
      <c r="F131" s="8" t="str">
        <f t="shared" si="4"/>
        <v/>
      </c>
      <c r="G131" s="10" t="str">
        <f t="shared" si="5"/>
        <v>0</v>
      </c>
    </row>
    <row r="132" spans="1:7">
      <c r="A132" s="17" t="str">
        <f>IF('EDC&amp;EDP_FuncList'!$A131= "", "",'EDC&amp;EDP_FuncList'!$A131)</f>
        <v/>
      </c>
      <c r="B132" s="4"/>
      <c r="C132" s="4"/>
      <c r="D132" s="4"/>
      <c r="E132" s="7" t="str">
        <f t="shared" si="3"/>
        <v/>
      </c>
      <c r="F132" s="8" t="str">
        <f t="shared" si="4"/>
        <v/>
      </c>
      <c r="G132" s="10" t="str">
        <f t="shared" si="5"/>
        <v>0</v>
      </c>
    </row>
    <row r="133" spans="1:7">
      <c r="A133" s="17" t="str">
        <f>IF('EDC&amp;EDP_FuncList'!$A132= "", "",'EDC&amp;EDP_FuncList'!$A132)</f>
        <v/>
      </c>
      <c r="B133" s="4"/>
      <c r="C133" s="4"/>
      <c r="D133" s="4"/>
      <c r="E133" s="7" t="str">
        <f t="shared" ref="E133:E196" si="6">IF((B133+4*C133+D133)/6 =0,"",(B133+4*C133+D133)/6)</f>
        <v/>
      </c>
      <c r="F133" s="8" t="str">
        <f t="shared" ref="F133:F196" si="7">IF(E133&lt;&gt;"",((D133-B133)/6)/E133,"")</f>
        <v/>
      </c>
      <c r="G133" s="10" t="str">
        <f t="shared" ref="G133:G196" si="8">IF(E133="","0",E133)</f>
        <v>0</v>
      </c>
    </row>
    <row r="134" spans="1:7">
      <c r="A134" s="17" t="str">
        <f>IF('EDC&amp;EDP_FuncList'!$A133= "", "",'EDC&amp;EDP_FuncList'!$A133)</f>
        <v/>
      </c>
      <c r="B134" s="4"/>
      <c r="C134" s="4"/>
      <c r="D134" s="4"/>
      <c r="E134" s="7" t="str">
        <f t="shared" si="6"/>
        <v/>
      </c>
      <c r="F134" s="8" t="str">
        <f t="shared" si="7"/>
        <v/>
      </c>
      <c r="G134" s="10" t="str">
        <f t="shared" si="8"/>
        <v>0</v>
      </c>
    </row>
    <row r="135" spans="1:7">
      <c r="A135" s="17" t="str">
        <f>IF('EDC&amp;EDP_FuncList'!$A134= "", "",'EDC&amp;EDP_FuncList'!$A134)</f>
        <v/>
      </c>
      <c r="B135" s="4"/>
      <c r="C135" s="4"/>
      <c r="D135" s="4"/>
      <c r="E135" s="7" t="str">
        <f t="shared" si="6"/>
        <v/>
      </c>
      <c r="F135" s="8" t="str">
        <f t="shared" si="7"/>
        <v/>
      </c>
      <c r="G135" s="10" t="str">
        <f t="shared" si="8"/>
        <v>0</v>
      </c>
    </row>
    <row r="136" spans="1:7">
      <c r="A136" s="17" t="str">
        <f>IF('EDC&amp;EDP_FuncList'!$A135= "", "",'EDC&amp;EDP_FuncList'!$A135)</f>
        <v/>
      </c>
      <c r="B136" s="4"/>
      <c r="C136" s="4"/>
      <c r="D136" s="4"/>
      <c r="E136" s="7" t="str">
        <f t="shared" si="6"/>
        <v/>
      </c>
      <c r="F136" s="8" t="str">
        <f t="shared" si="7"/>
        <v/>
      </c>
      <c r="G136" s="10" t="str">
        <f t="shared" si="8"/>
        <v>0</v>
      </c>
    </row>
    <row r="137" spans="1:7">
      <c r="A137" s="17" t="str">
        <f>IF('EDC&amp;EDP_FuncList'!$A136= "", "",'EDC&amp;EDP_FuncList'!$A136)</f>
        <v/>
      </c>
      <c r="B137" s="4"/>
      <c r="C137" s="4"/>
      <c r="D137" s="4"/>
      <c r="E137" s="7" t="str">
        <f t="shared" si="6"/>
        <v/>
      </c>
      <c r="F137" s="8" t="str">
        <f t="shared" si="7"/>
        <v/>
      </c>
      <c r="G137" s="10" t="str">
        <f t="shared" si="8"/>
        <v>0</v>
      </c>
    </row>
    <row r="138" spans="1:7">
      <c r="A138" s="17" t="str">
        <f>IF('EDC&amp;EDP_FuncList'!$A137= "", "",'EDC&amp;EDP_FuncList'!$A137)</f>
        <v/>
      </c>
      <c r="B138" s="4"/>
      <c r="C138" s="4"/>
      <c r="D138" s="4"/>
      <c r="E138" s="7" t="str">
        <f t="shared" si="6"/>
        <v/>
      </c>
      <c r="F138" s="8" t="str">
        <f t="shared" si="7"/>
        <v/>
      </c>
      <c r="G138" s="10" t="str">
        <f t="shared" si="8"/>
        <v>0</v>
      </c>
    </row>
    <row r="139" spans="1:7">
      <c r="A139" s="17" t="str">
        <f>IF('EDC&amp;EDP_FuncList'!$A138= "", "",'EDC&amp;EDP_FuncList'!$A138)</f>
        <v/>
      </c>
      <c r="B139" s="4"/>
      <c r="C139" s="4"/>
      <c r="D139" s="4"/>
      <c r="E139" s="7" t="str">
        <f t="shared" si="6"/>
        <v/>
      </c>
      <c r="F139" s="8" t="str">
        <f t="shared" si="7"/>
        <v/>
      </c>
      <c r="G139" s="10" t="str">
        <f t="shared" si="8"/>
        <v>0</v>
      </c>
    </row>
    <row r="140" spans="1:7">
      <c r="A140" s="17" t="str">
        <f>IF('EDC&amp;EDP_FuncList'!$A139= "", "",'EDC&amp;EDP_FuncList'!$A139)</f>
        <v/>
      </c>
      <c r="B140" s="4"/>
      <c r="C140" s="4"/>
      <c r="D140" s="4"/>
      <c r="E140" s="7" t="str">
        <f t="shared" si="6"/>
        <v/>
      </c>
      <c r="F140" s="8" t="str">
        <f t="shared" si="7"/>
        <v/>
      </c>
      <c r="G140" s="10" t="str">
        <f t="shared" si="8"/>
        <v>0</v>
      </c>
    </row>
    <row r="141" spans="1:7">
      <c r="A141" s="17" t="str">
        <f>IF('EDC&amp;EDP_FuncList'!$A140= "", "",'EDC&amp;EDP_FuncList'!$A140)</f>
        <v/>
      </c>
      <c r="B141" s="4"/>
      <c r="C141" s="4"/>
      <c r="D141" s="4"/>
      <c r="E141" s="7" t="str">
        <f t="shared" si="6"/>
        <v/>
      </c>
      <c r="F141" s="8" t="str">
        <f t="shared" si="7"/>
        <v/>
      </c>
      <c r="G141" s="10" t="str">
        <f t="shared" si="8"/>
        <v>0</v>
      </c>
    </row>
    <row r="142" spans="1:7">
      <c r="A142" s="17" t="str">
        <f>IF('EDC&amp;EDP_FuncList'!$A141= "", "",'EDC&amp;EDP_FuncList'!$A141)</f>
        <v/>
      </c>
      <c r="B142" s="4"/>
      <c r="C142" s="4"/>
      <c r="D142" s="4"/>
      <c r="E142" s="7" t="str">
        <f t="shared" si="6"/>
        <v/>
      </c>
      <c r="F142" s="8" t="str">
        <f t="shared" si="7"/>
        <v/>
      </c>
      <c r="G142" s="10" t="str">
        <f t="shared" si="8"/>
        <v>0</v>
      </c>
    </row>
    <row r="143" spans="1:7">
      <c r="A143" s="17" t="str">
        <f>IF('EDC&amp;EDP_FuncList'!$A142= "", "",'EDC&amp;EDP_FuncList'!$A142)</f>
        <v/>
      </c>
      <c r="B143" s="4"/>
      <c r="C143" s="4"/>
      <c r="D143" s="4"/>
      <c r="E143" s="7" t="str">
        <f t="shared" si="6"/>
        <v/>
      </c>
      <c r="F143" s="8" t="str">
        <f t="shared" si="7"/>
        <v/>
      </c>
      <c r="G143" s="10" t="str">
        <f t="shared" si="8"/>
        <v>0</v>
      </c>
    </row>
    <row r="144" spans="1:7">
      <c r="A144" s="17" t="str">
        <f>IF('EDC&amp;EDP_FuncList'!$A143= "", "",'EDC&amp;EDP_FuncList'!$A143)</f>
        <v/>
      </c>
      <c r="B144" s="4"/>
      <c r="C144" s="4"/>
      <c r="D144" s="4"/>
      <c r="E144" s="7" t="str">
        <f t="shared" si="6"/>
        <v/>
      </c>
      <c r="F144" s="8" t="str">
        <f t="shared" si="7"/>
        <v/>
      </c>
      <c r="G144" s="10" t="str">
        <f t="shared" si="8"/>
        <v>0</v>
      </c>
    </row>
    <row r="145" spans="1:7">
      <c r="A145" s="17" t="str">
        <f>IF('EDC&amp;EDP_FuncList'!$A144= "", "",'EDC&amp;EDP_FuncList'!$A144)</f>
        <v/>
      </c>
      <c r="B145" s="4"/>
      <c r="C145" s="4"/>
      <c r="D145" s="4"/>
      <c r="E145" s="7" t="str">
        <f t="shared" si="6"/>
        <v/>
      </c>
      <c r="F145" s="8" t="str">
        <f t="shared" si="7"/>
        <v/>
      </c>
      <c r="G145" s="10" t="str">
        <f t="shared" si="8"/>
        <v>0</v>
      </c>
    </row>
    <row r="146" spans="1:7">
      <c r="A146" s="17" t="str">
        <f>IF('EDC&amp;EDP_FuncList'!$A145= "", "",'EDC&amp;EDP_FuncList'!$A145)</f>
        <v/>
      </c>
      <c r="B146" s="4"/>
      <c r="C146" s="4"/>
      <c r="D146" s="4"/>
      <c r="E146" s="7" t="str">
        <f t="shared" si="6"/>
        <v/>
      </c>
      <c r="F146" s="8" t="str">
        <f t="shared" si="7"/>
        <v/>
      </c>
      <c r="G146" s="10" t="str">
        <f t="shared" si="8"/>
        <v>0</v>
      </c>
    </row>
    <row r="147" spans="1:7">
      <c r="A147" s="17" t="str">
        <f>IF('EDC&amp;EDP_FuncList'!$A146= "", "",'EDC&amp;EDP_FuncList'!$A146)</f>
        <v/>
      </c>
      <c r="B147" s="4"/>
      <c r="C147" s="4"/>
      <c r="D147" s="4"/>
      <c r="E147" s="7" t="str">
        <f t="shared" si="6"/>
        <v/>
      </c>
      <c r="F147" s="8" t="str">
        <f t="shared" si="7"/>
        <v/>
      </c>
      <c r="G147" s="10" t="str">
        <f t="shared" si="8"/>
        <v>0</v>
      </c>
    </row>
    <row r="148" spans="1:7">
      <c r="A148" s="17" t="str">
        <f>IF('EDC&amp;EDP_FuncList'!$A147= "", "",'EDC&amp;EDP_FuncList'!$A147)</f>
        <v/>
      </c>
      <c r="B148" s="4"/>
      <c r="C148" s="4"/>
      <c r="D148" s="4"/>
      <c r="E148" s="7" t="str">
        <f t="shared" si="6"/>
        <v/>
      </c>
      <c r="F148" s="8" t="str">
        <f t="shared" si="7"/>
        <v/>
      </c>
      <c r="G148" s="10" t="str">
        <f t="shared" si="8"/>
        <v>0</v>
      </c>
    </row>
    <row r="149" spans="1:7">
      <c r="A149" s="17" t="str">
        <f>IF('EDC&amp;EDP_FuncList'!$A148= "", "",'EDC&amp;EDP_FuncList'!$A148)</f>
        <v/>
      </c>
      <c r="B149" s="4"/>
      <c r="C149" s="4"/>
      <c r="D149" s="4"/>
      <c r="E149" s="7" t="str">
        <f t="shared" si="6"/>
        <v/>
      </c>
      <c r="F149" s="8" t="str">
        <f t="shared" si="7"/>
        <v/>
      </c>
      <c r="G149" s="10" t="str">
        <f t="shared" si="8"/>
        <v>0</v>
      </c>
    </row>
    <row r="150" spans="1:7">
      <c r="A150" s="17" t="str">
        <f>IF('EDC&amp;EDP_FuncList'!$A149= "", "",'EDC&amp;EDP_FuncList'!$A149)</f>
        <v/>
      </c>
      <c r="B150" s="4"/>
      <c r="C150" s="4"/>
      <c r="D150" s="4"/>
      <c r="E150" s="7" t="str">
        <f t="shared" si="6"/>
        <v/>
      </c>
      <c r="F150" s="8" t="str">
        <f t="shared" si="7"/>
        <v/>
      </c>
      <c r="G150" s="10" t="str">
        <f t="shared" si="8"/>
        <v>0</v>
      </c>
    </row>
    <row r="151" spans="1:7">
      <c r="A151" s="17" t="str">
        <f>IF('EDC&amp;EDP_FuncList'!$A150= "", "",'EDC&amp;EDP_FuncList'!$A150)</f>
        <v/>
      </c>
      <c r="B151" s="4"/>
      <c r="C151" s="4"/>
      <c r="D151" s="4"/>
      <c r="E151" s="7" t="str">
        <f t="shared" si="6"/>
        <v/>
      </c>
      <c r="F151" s="8" t="str">
        <f t="shared" si="7"/>
        <v/>
      </c>
      <c r="G151" s="10" t="str">
        <f t="shared" si="8"/>
        <v>0</v>
      </c>
    </row>
    <row r="152" spans="1:7">
      <c r="A152" s="17" t="str">
        <f>IF('EDC&amp;EDP_FuncList'!$A151= "", "",'EDC&amp;EDP_FuncList'!$A151)</f>
        <v/>
      </c>
      <c r="B152" s="4"/>
      <c r="C152" s="4"/>
      <c r="D152" s="4"/>
      <c r="E152" s="7" t="str">
        <f t="shared" si="6"/>
        <v/>
      </c>
      <c r="F152" s="8" t="str">
        <f t="shared" si="7"/>
        <v/>
      </c>
      <c r="G152" s="10" t="str">
        <f t="shared" si="8"/>
        <v>0</v>
      </c>
    </row>
    <row r="153" spans="1:7">
      <c r="A153" s="17" t="str">
        <f>IF('EDC&amp;EDP_FuncList'!$A152= "", "",'EDC&amp;EDP_FuncList'!$A152)</f>
        <v/>
      </c>
      <c r="B153" s="4"/>
      <c r="C153" s="4"/>
      <c r="D153" s="4"/>
      <c r="E153" s="7" t="str">
        <f t="shared" si="6"/>
        <v/>
      </c>
      <c r="F153" s="8" t="str">
        <f t="shared" si="7"/>
        <v/>
      </c>
      <c r="G153" s="10" t="str">
        <f t="shared" si="8"/>
        <v>0</v>
      </c>
    </row>
    <row r="154" spans="1:7">
      <c r="A154" s="17" t="str">
        <f>IF('EDC&amp;EDP_FuncList'!$A153= "", "",'EDC&amp;EDP_FuncList'!$A153)</f>
        <v/>
      </c>
      <c r="B154" s="4"/>
      <c r="C154" s="4"/>
      <c r="D154" s="4"/>
      <c r="E154" s="7" t="str">
        <f t="shared" si="6"/>
        <v/>
      </c>
      <c r="F154" s="8" t="str">
        <f t="shared" si="7"/>
        <v/>
      </c>
      <c r="G154" s="10" t="str">
        <f t="shared" si="8"/>
        <v>0</v>
      </c>
    </row>
    <row r="155" spans="1:7">
      <c r="A155" s="17" t="str">
        <f>IF('EDC&amp;EDP_FuncList'!$A154= "", "",'EDC&amp;EDP_FuncList'!$A154)</f>
        <v/>
      </c>
      <c r="B155" s="4"/>
      <c r="C155" s="4"/>
      <c r="D155" s="4"/>
      <c r="E155" s="7" t="str">
        <f t="shared" si="6"/>
        <v/>
      </c>
      <c r="F155" s="8" t="str">
        <f t="shared" si="7"/>
        <v/>
      </c>
      <c r="G155" s="10" t="str">
        <f t="shared" si="8"/>
        <v>0</v>
      </c>
    </row>
    <row r="156" spans="1:7">
      <c r="A156" s="17" t="str">
        <f>IF('EDC&amp;EDP_FuncList'!$A155= "", "",'EDC&amp;EDP_FuncList'!$A155)</f>
        <v/>
      </c>
      <c r="B156" s="4"/>
      <c r="C156" s="4"/>
      <c r="D156" s="4"/>
      <c r="E156" s="7" t="str">
        <f t="shared" si="6"/>
        <v/>
      </c>
      <c r="F156" s="8" t="str">
        <f t="shared" si="7"/>
        <v/>
      </c>
      <c r="G156" s="10" t="str">
        <f t="shared" si="8"/>
        <v>0</v>
      </c>
    </row>
    <row r="157" spans="1:7">
      <c r="A157" s="17" t="str">
        <f>IF('EDC&amp;EDP_FuncList'!$A156= "", "",'EDC&amp;EDP_FuncList'!$A156)</f>
        <v/>
      </c>
      <c r="B157" s="4"/>
      <c r="C157" s="4"/>
      <c r="D157" s="4"/>
      <c r="E157" s="7" t="str">
        <f t="shared" si="6"/>
        <v/>
      </c>
      <c r="F157" s="8" t="str">
        <f t="shared" si="7"/>
        <v/>
      </c>
      <c r="G157" s="10" t="str">
        <f t="shared" si="8"/>
        <v>0</v>
      </c>
    </row>
    <row r="158" spans="1:7">
      <c r="A158" s="17" t="str">
        <f>IF('EDC&amp;EDP_FuncList'!$A157= "", "",'EDC&amp;EDP_FuncList'!$A157)</f>
        <v/>
      </c>
      <c r="B158" s="4"/>
      <c r="C158" s="4"/>
      <c r="D158" s="4"/>
      <c r="E158" s="7" t="str">
        <f t="shared" si="6"/>
        <v/>
      </c>
      <c r="F158" s="8" t="str">
        <f t="shared" si="7"/>
        <v/>
      </c>
      <c r="G158" s="10" t="str">
        <f t="shared" si="8"/>
        <v>0</v>
      </c>
    </row>
    <row r="159" spans="1:7">
      <c r="A159" s="17" t="str">
        <f>IF('EDC&amp;EDP_FuncList'!$A158= "", "",'EDC&amp;EDP_FuncList'!$A158)</f>
        <v/>
      </c>
      <c r="B159" s="4"/>
      <c r="C159" s="4"/>
      <c r="D159" s="4"/>
      <c r="E159" s="7" t="str">
        <f t="shared" si="6"/>
        <v/>
      </c>
      <c r="F159" s="8" t="str">
        <f t="shared" si="7"/>
        <v/>
      </c>
      <c r="G159" s="10" t="str">
        <f t="shared" si="8"/>
        <v>0</v>
      </c>
    </row>
    <row r="160" spans="1:7">
      <c r="A160" s="17" t="str">
        <f>IF('EDC&amp;EDP_FuncList'!$A159= "", "",'EDC&amp;EDP_FuncList'!$A159)</f>
        <v/>
      </c>
      <c r="B160" s="4"/>
      <c r="C160" s="4"/>
      <c r="D160" s="4"/>
      <c r="E160" s="7" t="str">
        <f t="shared" si="6"/>
        <v/>
      </c>
      <c r="F160" s="8" t="str">
        <f t="shared" si="7"/>
        <v/>
      </c>
      <c r="G160" s="10" t="str">
        <f t="shared" si="8"/>
        <v>0</v>
      </c>
    </row>
    <row r="161" spans="1:7">
      <c r="A161" s="17" t="str">
        <f>IF('EDC&amp;EDP_FuncList'!$A160= "", "",'EDC&amp;EDP_FuncList'!$A160)</f>
        <v/>
      </c>
      <c r="B161" s="4"/>
      <c r="C161" s="4"/>
      <c r="D161" s="4"/>
      <c r="E161" s="7" t="str">
        <f t="shared" si="6"/>
        <v/>
      </c>
      <c r="F161" s="8" t="str">
        <f t="shared" si="7"/>
        <v/>
      </c>
      <c r="G161" s="10" t="str">
        <f t="shared" si="8"/>
        <v>0</v>
      </c>
    </row>
    <row r="162" spans="1:7">
      <c r="A162" s="17" t="str">
        <f>IF('EDC&amp;EDP_FuncList'!$A161= "", "",'EDC&amp;EDP_FuncList'!$A161)</f>
        <v/>
      </c>
      <c r="B162" s="4"/>
      <c r="C162" s="4"/>
      <c r="D162" s="4"/>
      <c r="E162" s="7" t="str">
        <f t="shared" si="6"/>
        <v/>
      </c>
      <c r="F162" s="8" t="str">
        <f t="shared" si="7"/>
        <v/>
      </c>
      <c r="G162" s="10" t="str">
        <f t="shared" si="8"/>
        <v>0</v>
      </c>
    </row>
    <row r="163" spans="1:7">
      <c r="A163" s="17" t="str">
        <f>IF('EDC&amp;EDP_FuncList'!$A162= "", "",'EDC&amp;EDP_FuncList'!$A162)</f>
        <v/>
      </c>
      <c r="B163" s="4"/>
      <c r="C163" s="4"/>
      <c r="D163" s="4"/>
      <c r="E163" s="7" t="str">
        <f t="shared" si="6"/>
        <v/>
      </c>
      <c r="F163" s="8" t="str">
        <f t="shared" si="7"/>
        <v/>
      </c>
      <c r="G163" s="10" t="str">
        <f t="shared" si="8"/>
        <v>0</v>
      </c>
    </row>
    <row r="164" spans="1:7">
      <c r="A164" s="17" t="str">
        <f>IF('EDC&amp;EDP_FuncList'!$A163= "", "",'EDC&amp;EDP_FuncList'!$A163)</f>
        <v/>
      </c>
      <c r="B164" s="4"/>
      <c r="C164" s="4"/>
      <c r="D164" s="4"/>
      <c r="E164" s="7" t="str">
        <f t="shared" si="6"/>
        <v/>
      </c>
      <c r="F164" s="8" t="str">
        <f t="shared" si="7"/>
        <v/>
      </c>
      <c r="G164" s="10" t="str">
        <f t="shared" si="8"/>
        <v>0</v>
      </c>
    </row>
    <row r="165" spans="1:7">
      <c r="A165" s="17" t="str">
        <f>IF('EDC&amp;EDP_FuncList'!$A164= "", "",'EDC&amp;EDP_FuncList'!$A164)</f>
        <v/>
      </c>
      <c r="B165" s="4"/>
      <c r="C165" s="4"/>
      <c r="D165" s="4"/>
      <c r="E165" s="7" t="str">
        <f t="shared" si="6"/>
        <v/>
      </c>
      <c r="F165" s="8" t="str">
        <f t="shared" si="7"/>
        <v/>
      </c>
      <c r="G165" s="10" t="str">
        <f t="shared" si="8"/>
        <v>0</v>
      </c>
    </row>
    <row r="166" spans="1:7">
      <c r="A166" s="17" t="str">
        <f>IF('EDC&amp;EDP_FuncList'!$A165= "", "",'EDC&amp;EDP_FuncList'!$A165)</f>
        <v/>
      </c>
      <c r="B166" s="4"/>
      <c r="C166" s="4"/>
      <c r="D166" s="4"/>
      <c r="E166" s="7" t="str">
        <f t="shared" si="6"/>
        <v/>
      </c>
      <c r="F166" s="8" t="str">
        <f t="shared" si="7"/>
        <v/>
      </c>
      <c r="G166" s="10" t="str">
        <f t="shared" si="8"/>
        <v>0</v>
      </c>
    </row>
    <row r="167" spans="1:7">
      <c r="A167" s="17" t="str">
        <f>IF('EDC&amp;EDP_FuncList'!$A166= "", "",'EDC&amp;EDP_FuncList'!$A166)</f>
        <v/>
      </c>
      <c r="B167" s="4"/>
      <c r="C167" s="4"/>
      <c r="D167" s="4"/>
      <c r="E167" s="7" t="str">
        <f t="shared" si="6"/>
        <v/>
      </c>
      <c r="F167" s="8" t="str">
        <f t="shared" si="7"/>
        <v/>
      </c>
      <c r="G167" s="10" t="str">
        <f t="shared" si="8"/>
        <v>0</v>
      </c>
    </row>
    <row r="168" spans="1:7">
      <c r="A168" s="17" t="str">
        <f>IF('EDC&amp;EDP_FuncList'!$A167= "", "",'EDC&amp;EDP_FuncList'!$A167)</f>
        <v/>
      </c>
      <c r="B168" s="4"/>
      <c r="C168" s="4"/>
      <c r="D168" s="4"/>
      <c r="E168" s="7" t="str">
        <f t="shared" si="6"/>
        <v/>
      </c>
      <c r="F168" s="8" t="str">
        <f t="shared" si="7"/>
        <v/>
      </c>
      <c r="G168" s="10" t="str">
        <f t="shared" si="8"/>
        <v>0</v>
      </c>
    </row>
    <row r="169" spans="1:7">
      <c r="A169" s="17" t="str">
        <f>IF('EDC&amp;EDP_FuncList'!$A168= "", "",'EDC&amp;EDP_FuncList'!$A168)</f>
        <v/>
      </c>
      <c r="B169" s="4"/>
      <c r="C169" s="4"/>
      <c r="D169" s="4"/>
      <c r="E169" s="7" t="str">
        <f t="shared" si="6"/>
        <v/>
      </c>
      <c r="F169" s="8" t="str">
        <f t="shared" si="7"/>
        <v/>
      </c>
      <c r="G169" s="10" t="str">
        <f t="shared" si="8"/>
        <v>0</v>
      </c>
    </row>
    <row r="170" spans="1:7">
      <c r="A170" s="17" t="str">
        <f>IF('EDC&amp;EDP_FuncList'!$A169= "", "",'EDC&amp;EDP_FuncList'!$A169)</f>
        <v/>
      </c>
      <c r="B170" s="4"/>
      <c r="C170" s="4"/>
      <c r="D170" s="4"/>
      <c r="E170" s="7" t="str">
        <f t="shared" si="6"/>
        <v/>
      </c>
      <c r="F170" s="8" t="str">
        <f t="shared" si="7"/>
        <v/>
      </c>
      <c r="G170" s="10" t="str">
        <f t="shared" si="8"/>
        <v>0</v>
      </c>
    </row>
    <row r="171" spans="1:7">
      <c r="A171" s="17" t="str">
        <f>IF('EDC&amp;EDP_FuncList'!$A170= "", "",'EDC&amp;EDP_FuncList'!$A170)</f>
        <v/>
      </c>
      <c r="B171" s="4"/>
      <c r="C171" s="4"/>
      <c r="D171" s="4"/>
      <c r="E171" s="7" t="str">
        <f t="shared" si="6"/>
        <v/>
      </c>
      <c r="F171" s="8" t="str">
        <f t="shared" si="7"/>
        <v/>
      </c>
      <c r="G171" s="10" t="str">
        <f t="shared" si="8"/>
        <v>0</v>
      </c>
    </row>
    <row r="172" spans="1:7">
      <c r="A172" s="17" t="str">
        <f>IF('EDC&amp;EDP_FuncList'!$A171= "", "",'EDC&amp;EDP_FuncList'!$A171)</f>
        <v/>
      </c>
      <c r="B172" s="4"/>
      <c r="C172" s="4"/>
      <c r="D172" s="4"/>
      <c r="E172" s="7" t="str">
        <f t="shared" si="6"/>
        <v/>
      </c>
      <c r="F172" s="8" t="str">
        <f t="shared" si="7"/>
        <v/>
      </c>
      <c r="G172" s="10" t="str">
        <f t="shared" si="8"/>
        <v>0</v>
      </c>
    </row>
    <row r="173" spans="1:7">
      <c r="A173" s="17" t="str">
        <f>IF('EDC&amp;EDP_FuncList'!$A172= "", "",'EDC&amp;EDP_FuncList'!$A172)</f>
        <v/>
      </c>
      <c r="B173" s="4"/>
      <c r="C173" s="4"/>
      <c r="D173" s="4"/>
      <c r="E173" s="7" t="str">
        <f t="shared" si="6"/>
        <v/>
      </c>
      <c r="F173" s="8" t="str">
        <f t="shared" si="7"/>
        <v/>
      </c>
      <c r="G173" s="10" t="str">
        <f t="shared" si="8"/>
        <v>0</v>
      </c>
    </row>
    <row r="174" spans="1:7">
      <c r="A174" s="17" t="str">
        <f>IF('EDC&amp;EDP_FuncList'!$A173= "", "",'EDC&amp;EDP_FuncList'!$A173)</f>
        <v/>
      </c>
      <c r="B174" s="4"/>
      <c r="C174" s="4"/>
      <c r="D174" s="4"/>
      <c r="E174" s="7" t="str">
        <f t="shared" si="6"/>
        <v/>
      </c>
      <c r="F174" s="8" t="str">
        <f t="shared" si="7"/>
        <v/>
      </c>
      <c r="G174" s="10" t="str">
        <f t="shared" si="8"/>
        <v>0</v>
      </c>
    </row>
    <row r="175" spans="1:7">
      <c r="A175" s="17" t="str">
        <f>IF('EDC&amp;EDP_FuncList'!$A174= "", "",'EDC&amp;EDP_FuncList'!$A174)</f>
        <v/>
      </c>
      <c r="B175" s="4"/>
      <c r="C175" s="4"/>
      <c r="D175" s="4"/>
      <c r="E175" s="7" t="str">
        <f t="shared" si="6"/>
        <v/>
      </c>
      <c r="F175" s="8" t="str">
        <f t="shared" si="7"/>
        <v/>
      </c>
      <c r="G175" s="10" t="str">
        <f t="shared" si="8"/>
        <v>0</v>
      </c>
    </row>
    <row r="176" spans="1:7">
      <c r="A176" s="17" t="str">
        <f>IF('EDC&amp;EDP_FuncList'!$A175= "", "",'EDC&amp;EDP_FuncList'!$A175)</f>
        <v/>
      </c>
      <c r="B176" s="4"/>
      <c r="C176" s="4"/>
      <c r="D176" s="4"/>
      <c r="E176" s="7" t="str">
        <f t="shared" si="6"/>
        <v/>
      </c>
      <c r="F176" s="8" t="str">
        <f t="shared" si="7"/>
        <v/>
      </c>
      <c r="G176" s="10" t="str">
        <f t="shared" si="8"/>
        <v>0</v>
      </c>
    </row>
    <row r="177" spans="1:7">
      <c r="A177" s="17" t="str">
        <f>IF('EDC&amp;EDP_FuncList'!$A176= "", "",'EDC&amp;EDP_FuncList'!$A176)</f>
        <v/>
      </c>
      <c r="B177" s="4"/>
      <c r="C177" s="4"/>
      <c r="D177" s="4"/>
      <c r="E177" s="7" t="str">
        <f t="shared" si="6"/>
        <v/>
      </c>
      <c r="F177" s="8" t="str">
        <f t="shared" si="7"/>
        <v/>
      </c>
      <c r="G177" s="10" t="str">
        <f t="shared" si="8"/>
        <v>0</v>
      </c>
    </row>
    <row r="178" spans="1:7">
      <c r="A178" s="17" t="str">
        <f>IF('EDC&amp;EDP_FuncList'!$A177= "", "",'EDC&amp;EDP_FuncList'!$A177)</f>
        <v/>
      </c>
      <c r="B178" s="4"/>
      <c r="C178" s="4"/>
      <c r="D178" s="4"/>
      <c r="E178" s="7" t="str">
        <f t="shared" si="6"/>
        <v/>
      </c>
      <c r="F178" s="8" t="str">
        <f t="shared" si="7"/>
        <v/>
      </c>
      <c r="G178" s="10" t="str">
        <f t="shared" si="8"/>
        <v>0</v>
      </c>
    </row>
    <row r="179" spans="1:7">
      <c r="A179" s="17" t="str">
        <f>IF('EDC&amp;EDP_FuncList'!$A178= "", "",'EDC&amp;EDP_FuncList'!$A178)</f>
        <v/>
      </c>
      <c r="B179" s="4"/>
      <c r="C179" s="4"/>
      <c r="D179" s="4"/>
      <c r="E179" s="7" t="str">
        <f t="shared" si="6"/>
        <v/>
      </c>
      <c r="F179" s="8" t="str">
        <f t="shared" si="7"/>
        <v/>
      </c>
      <c r="G179" s="10" t="str">
        <f t="shared" si="8"/>
        <v>0</v>
      </c>
    </row>
    <row r="180" spans="1:7">
      <c r="A180" s="17" t="str">
        <f>IF('EDC&amp;EDP_FuncList'!$A179= "", "",'EDC&amp;EDP_FuncList'!$A179)</f>
        <v/>
      </c>
      <c r="B180" s="4"/>
      <c r="C180" s="4"/>
      <c r="D180" s="4"/>
      <c r="E180" s="7" t="str">
        <f t="shared" si="6"/>
        <v/>
      </c>
      <c r="F180" s="8" t="str">
        <f t="shared" si="7"/>
        <v/>
      </c>
      <c r="G180" s="10" t="str">
        <f t="shared" si="8"/>
        <v>0</v>
      </c>
    </row>
    <row r="181" spans="1:7">
      <c r="A181" s="17" t="str">
        <f>IF('EDC&amp;EDP_FuncList'!$A180= "", "",'EDC&amp;EDP_FuncList'!$A180)</f>
        <v/>
      </c>
      <c r="B181" s="4"/>
      <c r="C181" s="4"/>
      <c r="D181" s="4"/>
      <c r="E181" s="7" t="str">
        <f t="shared" si="6"/>
        <v/>
      </c>
      <c r="F181" s="8" t="str">
        <f t="shared" si="7"/>
        <v/>
      </c>
      <c r="G181" s="10" t="str">
        <f t="shared" si="8"/>
        <v>0</v>
      </c>
    </row>
    <row r="182" spans="1:7">
      <c r="A182" s="17" t="str">
        <f>IF('EDC&amp;EDP_FuncList'!$A181= "", "",'EDC&amp;EDP_FuncList'!$A181)</f>
        <v/>
      </c>
      <c r="B182" s="4"/>
      <c r="C182" s="4"/>
      <c r="D182" s="4"/>
      <c r="E182" s="7" t="str">
        <f t="shared" si="6"/>
        <v/>
      </c>
      <c r="F182" s="8" t="str">
        <f t="shared" si="7"/>
        <v/>
      </c>
      <c r="G182" s="10" t="str">
        <f t="shared" si="8"/>
        <v>0</v>
      </c>
    </row>
    <row r="183" spans="1:7">
      <c r="A183" s="17" t="str">
        <f>IF('EDC&amp;EDP_FuncList'!$A182= "", "",'EDC&amp;EDP_FuncList'!$A182)</f>
        <v/>
      </c>
      <c r="B183" s="4"/>
      <c r="C183" s="4"/>
      <c r="D183" s="4"/>
      <c r="E183" s="7" t="str">
        <f t="shared" si="6"/>
        <v/>
      </c>
      <c r="F183" s="8" t="str">
        <f t="shared" si="7"/>
        <v/>
      </c>
      <c r="G183" s="10" t="str">
        <f t="shared" si="8"/>
        <v>0</v>
      </c>
    </row>
    <row r="184" spans="1:7">
      <c r="A184" s="17" t="str">
        <f>IF('EDC&amp;EDP_FuncList'!$A183= "", "",'EDC&amp;EDP_FuncList'!$A183)</f>
        <v/>
      </c>
      <c r="B184" s="4"/>
      <c r="C184" s="4"/>
      <c r="D184" s="4"/>
      <c r="E184" s="7" t="str">
        <f t="shared" si="6"/>
        <v/>
      </c>
      <c r="F184" s="8" t="str">
        <f t="shared" si="7"/>
        <v/>
      </c>
      <c r="G184" s="10" t="str">
        <f t="shared" si="8"/>
        <v>0</v>
      </c>
    </row>
    <row r="185" spans="1:7">
      <c r="A185" s="17" t="str">
        <f>IF('EDC&amp;EDP_FuncList'!$A184= "", "",'EDC&amp;EDP_FuncList'!$A184)</f>
        <v/>
      </c>
      <c r="B185" s="4"/>
      <c r="C185" s="4"/>
      <c r="D185" s="4"/>
      <c r="E185" s="7" t="str">
        <f t="shared" si="6"/>
        <v/>
      </c>
      <c r="F185" s="8" t="str">
        <f t="shared" si="7"/>
        <v/>
      </c>
      <c r="G185" s="10" t="str">
        <f t="shared" si="8"/>
        <v>0</v>
      </c>
    </row>
    <row r="186" spans="1:7">
      <c r="A186" s="17" t="str">
        <f>IF('EDC&amp;EDP_FuncList'!$A185= "", "",'EDC&amp;EDP_FuncList'!$A185)</f>
        <v/>
      </c>
      <c r="B186" s="4"/>
      <c r="C186" s="4"/>
      <c r="D186" s="4"/>
      <c r="E186" s="7" t="str">
        <f t="shared" si="6"/>
        <v/>
      </c>
      <c r="F186" s="8" t="str">
        <f t="shared" si="7"/>
        <v/>
      </c>
      <c r="G186" s="10" t="str">
        <f t="shared" si="8"/>
        <v>0</v>
      </c>
    </row>
    <row r="187" spans="1:7">
      <c r="A187" s="17" t="str">
        <f>IF('EDC&amp;EDP_FuncList'!$A186= "", "",'EDC&amp;EDP_FuncList'!$A186)</f>
        <v/>
      </c>
      <c r="B187" s="4"/>
      <c r="C187" s="4"/>
      <c r="D187" s="4"/>
      <c r="E187" s="7" t="str">
        <f t="shared" si="6"/>
        <v/>
      </c>
      <c r="F187" s="8" t="str">
        <f t="shared" si="7"/>
        <v/>
      </c>
      <c r="G187" s="10" t="str">
        <f t="shared" si="8"/>
        <v>0</v>
      </c>
    </row>
    <row r="188" spans="1:7">
      <c r="A188" s="17" t="str">
        <f>IF('EDC&amp;EDP_FuncList'!$A187= "", "",'EDC&amp;EDP_FuncList'!$A187)</f>
        <v/>
      </c>
      <c r="B188" s="4"/>
      <c r="C188" s="4"/>
      <c r="D188" s="4"/>
      <c r="E188" s="7" t="str">
        <f t="shared" si="6"/>
        <v/>
      </c>
      <c r="F188" s="8" t="str">
        <f t="shared" si="7"/>
        <v/>
      </c>
      <c r="G188" s="10" t="str">
        <f t="shared" si="8"/>
        <v>0</v>
      </c>
    </row>
    <row r="189" spans="1:7">
      <c r="A189" s="17" t="str">
        <f>IF('EDC&amp;EDP_FuncList'!$A188= "", "",'EDC&amp;EDP_FuncList'!$A188)</f>
        <v/>
      </c>
      <c r="B189" s="4"/>
      <c r="C189" s="4"/>
      <c r="D189" s="4"/>
      <c r="E189" s="7" t="str">
        <f t="shared" si="6"/>
        <v/>
      </c>
      <c r="F189" s="8" t="str">
        <f t="shared" si="7"/>
        <v/>
      </c>
      <c r="G189" s="10" t="str">
        <f t="shared" si="8"/>
        <v>0</v>
      </c>
    </row>
    <row r="190" spans="1:7">
      <c r="A190" s="17" t="str">
        <f>IF('EDC&amp;EDP_FuncList'!$A189= "", "",'EDC&amp;EDP_FuncList'!$A189)</f>
        <v/>
      </c>
      <c r="B190" s="4"/>
      <c r="C190" s="4"/>
      <c r="D190" s="4"/>
      <c r="E190" s="7" t="str">
        <f t="shared" si="6"/>
        <v/>
      </c>
      <c r="F190" s="8" t="str">
        <f t="shared" si="7"/>
        <v/>
      </c>
      <c r="G190" s="10" t="str">
        <f t="shared" si="8"/>
        <v>0</v>
      </c>
    </row>
    <row r="191" spans="1:7">
      <c r="A191" s="17" t="str">
        <f>IF('EDC&amp;EDP_FuncList'!$A190= "", "",'EDC&amp;EDP_FuncList'!$A190)</f>
        <v/>
      </c>
      <c r="B191" s="4"/>
      <c r="C191" s="4"/>
      <c r="D191" s="4"/>
      <c r="E191" s="7" t="str">
        <f t="shared" si="6"/>
        <v/>
      </c>
      <c r="F191" s="8" t="str">
        <f t="shared" si="7"/>
        <v/>
      </c>
      <c r="G191" s="10" t="str">
        <f t="shared" si="8"/>
        <v>0</v>
      </c>
    </row>
    <row r="192" spans="1:7">
      <c r="A192" s="17" t="str">
        <f>IF('EDC&amp;EDP_FuncList'!$A191= "", "",'EDC&amp;EDP_FuncList'!$A191)</f>
        <v/>
      </c>
      <c r="B192" s="4"/>
      <c r="C192" s="4"/>
      <c r="D192" s="4"/>
      <c r="E192" s="7" t="str">
        <f t="shared" si="6"/>
        <v/>
      </c>
      <c r="F192" s="8" t="str">
        <f t="shared" si="7"/>
        <v/>
      </c>
      <c r="G192" s="10" t="str">
        <f t="shared" si="8"/>
        <v>0</v>
      </c>
    </row>
    <row r="193" spans="1:7">
      <c r="A193" s="17" t="str">
        <f>IF('EDC&amp;EDP_FuncList'!$A192= "", "",'EDC&amp;EDP_FuncList'!$A192)</f>
        <v/>
      </c>
      <c r="B193" s="4"/>
      <c r="C193" s="4"/>
      <c r="D193" s="4"/>
      <c r="E193" s="7" t="str">
        <f t="shared" si="6"/>
        <v/>
      </c>
      <c r="F193" s="8" t="str">
        <f t="shared" si="7"/>
        <v/>
      </c>
      <c r="G193" s="10" t="str">
        <f t="shared" si="8"/>
        <v>0</v>
      </c>
    </row>
    <row r="194" spans="1:7">
      <c r="A194" s="17" t="str">
        <f>IF('EDC&amp;EDP_FuncList'!$A193= "", "",'EDC&amp;EDP_FuncList'!$A193)</f>
        <v/>
      </c>
      <c r="B194" s="4"/>
      <c r="C194" s="4"/>
      <c r="D194" s="4"/>
      <c r="E194" s="7" t="str">
        <f t="shared" si="6"/>
        <v/>
      </c>
      <c r="F194" s="8" t="str">
        <f t="shared" si="7"/>
        <v/>
      </c>
      <c r="G194" s="10" t="str">
        <f t="shared" si="8"/>
        <v>0</v>
      </c>
    </row>
    <row r="195" spans="1:7">
      <c r="A195" s="17" t="str">
        <f>IF('EDC&amp;EDP_FuncList'!$A194= "", "",'EDC&amp;EDP_FuncList'!$A194)</f>
        <v/>
      </c>
      <c r="B195" s="4"/>
      <c r="C195" s="4"/>
      <c r="D195" s="4"/>
      <c r="E195" s="7" t="str">
        <f t="shared" si="6"/>
        <v/>
      </c>
      <c r="F195" s="8" t="str">
        <f t="shared" si="7"/>
        <v/>
      </c>
      <c r="G195" s="10" t="str">
        <f t="shared" si="8"/>
        <v>0</v>
      </c>
    </row>
    <row r="196" spans="1:7">
      <c r="A196" s="17" t="str">
        <f>IF('EDC&amp;EDP_FuncList'!$A195= "", "",'EDC&amp;EDP_FuncList'!$A195)</f>
        <v/>
      </c>
      <c r="B196" s="4"/>
      <c r="C196" s="4"/>
      <c r="D196" s="4"/>
      <c r="E196" s="7" t="str">
        <f t="shared" si="6"/>
        <v/>
      </c>
      <c r="F196" s="8" t="str">
        <f t="shared" si="7"/>
        <v/>
      </c>
      <c r="G196" s="10" t="str">
        <f t="shared" si="8"/>
        <v>0</v>
      </c>
    </row>
    <row r="197" spans="1:7">
      <c r="A197" s="17" t="str">
        <f>IF('EDC&amp;EDP_FuncList'!$A196= "", "",'EDC&amp;EDP_FuncList'!$A196)</f>
        <v/>
      </c>
      <c r="B197" s="4"/>
      <c r="C197" s="4"/>
      <c r="D197" s="4"/>
      <c r="E197" s="7" t="str">
        <f t="shared" ref="E197:E206" si="9">IF((B197+4*C197+D197)/6 =0,"",(B197+4*C197+D197)/6)</f>
        <v/>
      </c>
      <c r="F197" s="8" t="str">
        <f t="shared" ref="F197:F206" si="10">IF(E197&lt;&gt;"",((D197-B197)/6)/E197,"")</f>
        <v/>
      </c>
      <c r="G197" s="10" t="str">
        <f t="shared" ref="G197:G206" si="11">IF(E197="","0",E197)</f>
        <v>0</v>
      </c>
    </row>
    <row r="198" spans="1:7">
      <c r="A198" s="17" t="str">
        <f>IF('EDC&amp;EDP_FuncList'!$A197= "", "",'EDC&amp;EDP_FuncList'!$A197)</f>
        <v/>
      </c>
      <c r="B198" s="4"/>
      <c r="C198" s="4"/>
      <c r="D198" s="4"/>
      <c r="E198" s="7" t="str">
        <f t="shared" si="9"/>
        <v/>
      </c>
      <c r="F198" s="8" t="str">
        <f t="shared" si="10"/>
        <v/>
      </c>
      <c r="G198" s="10" t="str">
        <f t="shared" si="11"/>
        <v>0</v>
      </c>
    </row>
    <row r="199" spans="1:7">
      <c r="A199" s="17" t="str">
        <f>IF('EDC&amp;EDP_FuncList'!$A198= "", "",'EDC&amp;EDP_FuncList'!$A198)</f>
        <v/>
      </c>
      <c r="B199" s="4"/>
      <c r="C199" s="4"/>
      <c r="D199" s="4"/>
      <c r="E199" s="7" t="str">
        <f t="shared" si="9"/>
        <v/>
      </c>
      <c r="F199" s="8" t="str">
        <f t="shared" si="10"/>
        <v/>
      </c>
      <c r="G199" s="10" t="str">
        <f t="shared" si="11"/>
        <v>0</v>
      </c>
    </row>
    <row r="200" spans="1:7">
      <c r="A200" s="17" t="str">
        <f>IF('EDC&amp;EDP_FuncList'!$A199= "", "",'EDC&amp;EDP_FuncList'!$A199)</f>
        <v/>
      </c>
      <c r="B200" s="4"/>
      <c r="C200" s="4"/>
      <c r="D200" s="4"/>
      <c r="E200" s="7" t="str">
        <f t="shared" si="9"/>
        <v/>
      </c>
      <c r="F200" s="8" t="str">
        <f t="shared" si="10"/>
        <v/>
      </c>
      <c r="G200" s="10" t="str">
        <f t="shared" si="11"/>
        <v>0</v>
      </c>
    </row>
    <row r="201" spans="1:7">
      <c r="A201" s="17" t="str">
        <f>IF('EDC&amp;EDP_FuncList'!$A200= "", "",'EDC&amp;EDP_FuncList'!$A200)</f>
        <v/>
      </c>
      <c r="B201" s="4"/>
      <c r="C201" s="4"/>
      <c r="D201" s="4"/>
      <c r="E201" s="7" t="str">
        <f t="shared" si="9"/>
        <v/>
      </c>
      <c r="F201" s="8" t="str">
        <f t="shared" si="10"/>
        <v/>
      </c>
      <c r="G201" s="10" t="str">
        <f t="shared" si="11"/>
        <v>0</v>
      </c>
    </row>
    <row r="202" spans="1:7">
      <c r="A202" s="17" t="str">
        <f>IF('EDC&amp;EDP_FuncList'!$A201= "", "",'EDC&amp;EDP_FuncList'!$A201)</f>
        <v/>
      </c>
      <c r="B202" s="4"/>
      <c r="C202" s="4"/>
      <c r="D202" s="4"/>
      <c r="E202" s="7" t="str">
        <f t="shared" si="9"/>
        <v/>
      </c>
      <c r="F202" s="8" t="str">
        <f t="shared" si="10"/>
        <v/>
      </c>
      <c r="G202" s="10" t="str">
        <f t="shared" si="11"/>
        <v>0</v>
      </c>
    </row>
    <row r="203" spans="1:7">
      <c r="A203" s="17" t="str">
        <f>IF('EDC&amp;EDP_FuncList'!$A202= "", "",'EDC&amp;EDP_FuncList'!$A202)</f>
        <v/>
      </c>
      <c r="B203" s="4"/>
      <c r="C203" s="4"/>
      <c r="D203" s="4"/>
      <c r="E203" s="7" t="str">
        <f t="shared" si="9"/>
        <v/>
      </c>
      <c r="F203" s="8" t="str">
        <f t="shared" si="10"/>
        <v/>
      </c>
      <c r="G203" s="10" t="str">
        <f t="shared" si="11"/>
        <v>0</v>
      </c>
    </row>
    <row r="204" spans="1:7">
      <c r="A204" s="17" t="str">
        <f>IF('EDC&amp;EDP_FuncList'!$A203= "", "",'EDC&amp;EDP_FuncList'!$A203)</f>
        <v/>
      </c>
      <c r="B204" s="4"/>
      <c r="C204" s="4"/>
      <c r="D204" s="4"/>
      <c r="E204" s="7" t="str">
        <f t="shared" si="9"/>
        <v/>
      </c>
      <c r="F204" s="8" t="str">
        <f t="shared" si="10"/>
        <v/>
      </c>
      <c r="G204" s="10" t="str">
        <f t="shared" si="11"/>
        <v>0</v>
      </c>
    </row>
    <row r="205" spans="1:7">
      <c r="A205" s="17" t="str">
        <f>IF('EDC&amp;EDP_FuncList'!$A204= "", "",'EDC&amp;EDP_FuncList'!$A204)</f>
        <v/>
      </c>
      <c r="B205" s="4"/>
      <c r="C205" s="4"/>
      <c r="D205" s="4"/>
      <c r="E205" s="7" t="str">
        <f t="shared" si="9"/>
        <v/>
      </c>
      <c r="F205" s="8" t="str">
        <f t="shared" si="10"/>
        <v/>
      </c>
      <c r="G205" s="10" t="str">
        <f t="shared" si="11"/>
        <v>0</v>
      </c>
    </row>
    <row r="206" spans="1:7">
      <c r="A206" s="17" t="str">
        <f>IF('EDC&amp;EDP_FuncList'!$A205= "", "",'EDC&amp;EDP_FuncList'!$A205)</f>
        <v/>
      </c>
      <c r="B206" s="4"/>
      <c r="C206" s="4"/>
      <c r="D206" s="4"/>
      <c r="E206" s="7" t="str">
        <f t="shared" si="9"/>
        <v/>
      </c>
      <c r="F206" s="8" t="str">
        <f t="shared" si="10"/>
        <v/>
      </c>
      <c r="G206" s="10" t="str">
        <f t="shared" si="11"/>
        <v>0</v>
      </c>
    </row>
  </sheetData>
  <sheetProtection sheet="1" objects="1" scenarios="1"/>
  <mergeCells count="1">
    <mergeCell ref="A2:G2"/>
  </mergeCells>
  <phoneticPr fontId="1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E216"/>
  <sheetViews>
    <sheetView showGridLines="0" tabSelected="1" workbookViewId="0">
      <selection activeCell="C25" sqref="C25"/>
    </sheetView>
  </sheetViews>
  <sheetFormatPr defaultColWidth="10.28515625" defaultRowHeight="14.25"/>
  <cols>
    <col min="1" max="1" width="2.42578125" style="23" customWidth="1"/>
    <col min="2" max="2" width="27.140625" style="23" customWidth="1"/>
    <col min="3" max="3" width="26.85546875" style="23" customWidth="1"/>
    <col min="4" max="4" width="24.85546875" style="24" customWidth="1"/>
    <col min="5" max="5" width="17.140625" style="24" customWidth="1"/>
    <col min="6" max="16384" width="10.28515625" style="23"/>
  </cols>
  <sheetData>
    <row r="1" spans="2:5">
      <c r="B1" s="52" t="s">
        <v>46</v>
      </c>
      <c r="C1" s="41" t="s">
        <v>38</v>
      </c>
    </row>
    <row r="2" spans="2:5">
      <c r="B2" s="144" t="s">
        <v>103</v>
      </c>
      <c r="C2" s="145"/>
      <c r="D2" s="145"/>
      <c r="E2" s="146"/>
    </row>
    <row r="3" spans="2:5">
      <c r="B3" s="71" t="s">
        <v>68</v>
      </c>
      <c r="C3" s="20">
        <v>2</v>
      </c>
      <c r="D3" s="71" t="s">
        <v>69</v>
      </c>
      <c r="E3" s="69">
        <f>IF(OR(C7="",C3=""),"",C7/C3)</f>
        <v>8.3333333333333339</v>
      </c>
    </row>
    <row r="4" spans="2:5">
      <c r="B4" s="71" t="s">
        <v>66</v>
      </c>
      <c r="C4" s="20">
        <v>0.5</v>
      </c>
      <c r="D4" s="71" t="s">
        <v>70</v>
      </c>
      <c r="E4" s="70">
        <f>IF(OR(E3="",C4=0),"",E3/C4)</f>
        <v>16.666666666666668</v>
      </c>
    </row>
    <row r="5" spans="2:5">
      <c r="B5" s="147" t="s">
        <v>90</v>
      </c>
      <c r="C5" s="148"/>
      <c r="D5" s="148"/>
      <c r="E5" s="149"/>
    </row>
    <row r="6" spans="2:5">
      <c r="B6" s="71" t="s">
        <v>67</v>
      </c>
      <c r="C6" s="20">
        <v>25</v>
      </c>
      <c r="D6" s="71" t="s">
        <v>71</v>
      </c>
      <c r="E6" s="70">
        <f>IF(SUM(D14:D216)=0,"",SUM(D14:D216))</f>
        <v>0.66666666666666674</v>
      </c>
    </row>
    <row r="7" spans="2:5">
      <c r="B7" s="71" t="s">
        <v>49</v>
      </c>
      <c r="C7" s="69">
        <f>IF(SUM(C14:C216)=0,"",SUM(C14:C216))</f>
        <v>16.666666666666668</v>
      </c>
      <c r="D7" s="71" t="s">
        <v>74</v>
      </c>
      <c r="E7" s="70">
        <f>IF(SUM(E14:E216)=0,"",SUM(E14:E216))</f>
        <v>0.72222222222222232</v>
      </c>
    </row>
    <row r="8" spans="2:5">
      <c r="B8" s="71" t="s">
        <v>50</v>
      </c>
      <c r="C8" s="20">
        <v>0</v>
      </c>
      <c r="D8" s="71" t="s">
        <v>73</v>
      </c>
      <c r="E8" s="70">
        <f>IF(OR(C8="",C9="",C10=""),"",C8/C9*C10)</f>
        <v>0</v>
      </c>
    </row>
    <row r="9" spans="2:5">
      <c r="B9" s="71" t="s">
        <v>72</v>
      </c>
      <c r="C9" s="20">
        <v>30</v>
      </c>
      <c r="D9" s="71" t="s">
        <v>75</v>
      </c>
      <c r="E9" s="70">
        <f>IF(SUM(E7:E8)=0,"",SUM(E7:E8))</f>
        <v>0.72222222222222232</v>
      </c>
    </row>
    <row r="10" spans="2:5">
      <c r="B10" s="71" t="s">
        <v>52</v>
      </c>
      <c r="C10" s="53">
        <v>1.3</v>
      </c>
      <c r="D10" s="71" t="s">
        <v>51</v>
      </c>
      <c r="E10" s="69">
        <f>IF(SUM(C8,C7)=0,"",SUM(C8,C7))</f>
        <v>16.666666666666668</v>
      </c>
    </row>
    <row r="11" spans="2:5">
      <c r="B11" s="71" t="s">
        <v>54</v>
      </c>
      <c r="C11" s="49">
        <v>3</v>
      </c>
      <c r="D11" s="71" t="s">
        <v>53</v>
      </c>
      <c r="E11" s="70">
        <f>IF(OR(C7="",C11=""),"",C7/C11)</f>
        <v>5.5555555555555562</v>
      </c>
    </row>
    <row r="12" spans="2:5">
      <c r="B12" s="24"/>
      <c r="C12" s="24"/>
    </row>
    <row r="13" spans="2:5" ht="24">
      <c r="B13" s="68" t="s">
        <v>20</v>
      </c>
      <c r="C13" s="68" t="s">
        <v>76</v>
      </c>
      <c r="D13" s="25" t="s">
        <v>77</v>
      </c>
      <c r="E13" s="25" t="s">
        <v>78</v>
      </c>
    </row>
    <row r="14" spans="2:5">
      <c r="B14" s="26" t="str">
        <f>'EDC&amp;EDP_Est'!$A4</f>
        <v>【区分不同客户端的需求】EDP 用户活跃 能区分不同类型终端（Android/iOS/WebTV)</v>
      </c>
      <c r="C14" s="50">
        <f>IF($B14="","",'EDC&amp;EDP_Est'!$G4)</f>
        <v>2.8333333333333335</v>
      </c>
      <c r="D14" s="54">
        <f>IF(AND(ISNUMBER(C14),ISNUMBER($C$6)),C14/$C$6,"")</f>
        <v>0.11333333333333334</v>
      </c>
      <c r="E14" s="54">
        <f>IF(AND(ISNUMBER(C14),ISNUMBER($C$9)),C14/$C$9*$C$10,"")</f>
        <v>0.12277777777777779</v>
      </c>
    </row>
    <row r="15" spans="2:5">
      <c r="B15" s="26" t="str">
        <f>'EDC&amp;EDP_Est'!$A5</f>
        <v>【区分不同客户端的需求】EDP 订购用户能区分不同客户端的数据（Android/iOS/WebTV)</v>
      </c>
      <c r="C15" s="50">
        <f>IF($B15="","",'EDC&amp;EDP_Est'!$G5)</f>
        <v>3.8333333333333335</v>
      </c>
      <c r="D15" s="54">
        <f t="shared" ref="D15:D78" si="0">IF(AND(ISNUMBER(C15),ISNUMBER($C$6)),C15/$C$6,"")</f>
        <v>0.15333333333333335</v>
      </c>
      <c r="E15" s="54">
        <f t="shared" ref="E15:E78" si="1">IF(AND(ISNUMBER(C15),ISNUMBER($C$9)),C15/$C$9*$C$10,"")</f>
        <v>0.16611111111111115</v>
      </c>
    </row>
    <row r="16" spans="2:5">
      <c r="B16" s="26" t="str">
        <f>'EDC&amp;EDP_Est'!$A6</f>
        <v>统计不同版本客户端的数量</v>
      </c>
      <c r="C16" s="50">
        <f>IF($B16="","",'EDC&amp;EDP_Est'!$G6)</f>
        <v>3.5</v>
      </c>
      <c r="D16" s="54">
        <f t="shared" si="0"/>
        <v>0.14000000000000001</v>
      </c>
      <c r="E16" s="54">
        <f t="shared" si="1"/>
        <v>0.15166666666666667</v>
      </c>
    </row>
    <row r="17" spans="2:5">
      <c r="B17" s="26" t="str">
        <f>'EDC&amp;EDP_Est'!$A7</f>
        <v>统计不同客户端的留存用户</v>
      </c>
      <c r="C17" s="50">
        <f>IF($B17="","",'EDC&amp;EDP_Est'!$G7)</f>
        <v>3.6666666666666665</v>
      </c>
      <c r="D17" s="54">
        <f t="shared" si="0"/>
        <v>0.14666666666666667</v>
      </c>
      <c r="E17" s="54">
        <f t="shared" si="1"/>
        <v>0.15888888888888889</v>
      </c>
    </row>
    <row r="18" spans="2:5">
      <c r="B18" s="26" t="str">
        <f>'EDC&amp;EDP_Est'!$A8</f>
        <v>内部优化（支持时区带小数的项目接入）</v>
      </c>
      <c r="C18" s="50">
        <f>IF($B18="","",'EDC&amp;EDP_Est'!$G8)</f>
        <v>2.8333333333333335</v>
      </c>
      <c r="D18" s="54">
        <f t="shared" si="0"/>
        <v>0.11333333333333334</v>
      </c>
      <c r="E18" s="54">
        <f t="shared" si="1"/>
        <v>0.12277777777777779</v>
      </c>
    </row>
    <row r="19" spans="2:5">
      <c r="B19" s="26" t="str">
        <f>'EDC&amp;EDP_Est'!$A9</f>
        <v/>
      </c>
      <c r="C19" s="50" t="str">
        <f>IF($B19="","",'EDC&amp;EDP_Est'!$G9)</f>
        <v/>
      </c>
      <c r="D19" s="54" t="str">
        <f t="shared" si="0"/>
        <v/>
      </c>
      <c r="E19" s="54" t="str">
        <f t="shared" si="1"/>
        <v/>
      </c>
    </row>
    <row r="20" spans="2:5">
      <c r="B20" s="26" t="str">
        <f>'EDC&amp;EDP_Est'!$A10</f>
        <v/>
      </c>
      <c r="C20" s="50" t="str">
        <f>IF($B20="","",'EDC&amp;EDP_Est'!$G10)</f>
        <v/>
      </c>
      <c r="D20" s="54" t="str">
        <f t="shared" si="0"/>
        <v/>
      </c>
      <c r="E20" s="54" t="str">
        <f t="shared" si="1"/>
        <v/>
      </c>
    </row>
    <row r="21" spans="2:5">
      <c r="B21" s="26" t="str">
        <f>'EDC&amp;EDP_Est'!$A11</f>
        <v/>
      </c>
      <c r="C21" s="50" t="str">
        <f>IF($B21="","",'EDC&amp;EDP_Est'!$G11)</f>
        <v/>
      </c>
      <c r="D21" s="54" t="str">
        <f t="shared" si="0"/>
        <v/>
      </c>
      <c r="E21" s="54" t="str">
        <f t="shared" si="1"/>
        <v/>
      </c>
    </row>
    <row r="22" spans="2:5">
      <c r="B22" s="26" t="str">
        <f>'EDC&amp;EDP_Est'!$A12</f>
        <v/>
      </c>
      <c r="C22" s="50" t="str">
        <f>IF($B22="","",'EDC&amp;EDP_Est'!$G12)</f>
        <v/>
      </c>
      <c r="D22" s="54" t="str">
        <f t="shared" si="0"/>
        <v/>
      </c>
      <c r="E22" s="54" t="str">
        <f t="shared" si="1"/>
        <v/>
      </c>
    </row>
    <row r="23" spans="2:5">
      <c r="B23" s="26" t="str">
        <f>'EDC&amp;EDP_Est'!$A13</f>
        <v/>
      </c>
      <c r="C23" s="50" t="str">
        <f>IF($B23="","",'EDC&amp;EDP_Est'!$G13)</f>
        <v/>
      </c>
      <c r="D23" s="54" t="str">
        <f t="shared" si="0"/>
        <v/>
      </c>
      <c r="E23" s="54" t="str">
        <f t="shared" si="1"/>
        <v/>
      </c>
    </row>
    <row r="24" spans="2:5">
      <c r="B24" s="26" t="str">
        <f>'EDC&amp;EDP_Est'!$A14</f>
        <v/>
      </c>
      <c r="C24" s="50" t="str">
        <f>IF($B24="","",'EDC&amp;EDP_Est'!$G14)</f>
        <v/>
      </c>
      <c r="D24" s="54" t="str">
        <f t="shared" si="0"/>
        <v/>
      </c>
      <c r="E24" s="54" t="str">
        <f t="shared" si="1"/>
        <v/>
      </c>
    </row>
    <row r="25" spans="2:5">
      <c r="B25" s="26" t="str">
        <f>'EDC&amp;EDP_Est'!$A15</f>
        <v/>
      </c>
      <c r="C25" s="50" t="str">
        <f>IF($B25="","",'EDC&amp;EDP_Est'!$G15)</f>
        <v/>
      </c>
      <c r="D25" s="54" t="str">
        <f t="shared" si="0"/>
        <v/>
      </c>
      <c r="E25" s="54" t="str">
        <f t="shared" si="1"/>
        <v/>
      </c>
    </row>
    <row r="26" spans="2:5">
      <c r="B26" s="26" t="str">
        <f>'EDC&amp;EDP_Est'!$A16</f>
        <v/>
      </c>
      <c r="C26" s="50" t="str">
        <f>IF($B26="","",'EDC&amp;EDP_Est'!$G16)</f>
        <v/>
      </c>
      <c r="D26" s="54" t="str">
        <f t="shared" si="0"/>
        <v/>
      </c>
      <c r="E26" s="54" t="str">
        <f t="shared" si="1"/>
        <v/>
      </c>
    </row>
    <row r="27" spans="2:5">
      <c r="B27" s="26" t="str">
        <f>'EDC&amp;EDP_Est'!$A17</f>
        <v/>
      </c>
      <c r="C27" s="50" t="str">
        <f>IF($B27="","",'EDC&amp;EDP_Est'!$G17)</f>
        <v/>
      </c>
      <c r="D27" s="54" t="str">
        <f t="shared" si="0"/>
        <v/>
      </c>
      <c r="E27" s="54" t="str">
        <f t="shared" si="1"/>
        <v/>
      </c>
    </row>
    <row r="28" spans="2:5">
      <c r="B28" s="26" t="str">
        <f>'EDC&amp;EDP_Est'!$A18</f>
        <v/>
      </c>
      <c r="C28" s="50" t="str">
        <f>IF($B28="","",'EDC&amp;EDP_Est'!$G18)</f>
        <v/>
      </c>
      <c r="D28" s="54" t="str">
        <f t="shared" si="0"/>
        <v/>
      </c>
      <c r="E28" s="54" t="str">
        <f t="shared" si="1"/>
        <v/>
      </c>
    </row>
    <row r="29" spans="2:5">
      <c r="B29" s="26" t="str">
        <f>'EDC&amp;EDP_Est'!$A19</f>
        <v/>
      </c>
      <c r="C29" s="50" t="str">
        <f>IF($B29="","",'EDC&amp;EDP_Est'!$G19)</f>
        <v/>
      </c>
      <c r="D29" s="54" t="str">
        <f t="shared" si="0"/>
        <v/>
      </c>
      <c r="E29" s="54" t="str">
        <f t="shared" si="1"/>
        <v/>
      </c>
    </row>
    <row r="30" spans="2:5">
      <c r="B30" s="26" t="str">
        <f>'EDC&amp;EDP_Est'!$A20</f>
        <v/>
      </c>
      <c r="C30" s="50" t="str">
        <f>IF($B30="","",'EDC&amp;EDP_Est'!$G20)</f>
        <v/>
      </c>
      <c r="D30" s="54" t="str">
        <f t="shared" si="0"/>
        <v/>
      </c>
      <c r="E30" s="54" t="str">
        <f t="shared" si="1"/>
        <v/>
      </c>
    </row>
    <row r="31" spans="2:5">
      <c r="B31" s="26" t="str">
        <f>'EDC&amp;EDP_Est'!$A21</f>
        <v/>
      </c>
      <c r="C31" s="50" t="str">
        <f>IF($B31="","",'EDC&amp;EDP_Est'!$G21)</f>
        <v/>
      </c>
      <c r="D31" s="54" t="str">
        <f t="shared" si="0"/>
        <v/>
      </c>
      <c r="E31" s="54" t="str">
        <f t="shared" si="1"/>
        <v/>
      </c>
    </row>
    <row r="32" spans="2:5">
      <c r="B32" s="26" t="str">
        <f>'EDC&amp;EDP_Est'!$A22</f>
        <v/>
      </c>
      <c r="C32" s="50" t="str">
        <f>IF($B32="","",'EDC&amp;EDP_Est'!$G22)</f>
        <v/>
      </c>
      <c r="D32" s="54" t="str">
        <f t="shared" si="0"/>
        <v/>
      </c>
      <c r="E32" s="54" t="str">
        <f t="shared" si="1"/>
        <v/>
      </c>
    </row>
    <row r="33" spans="2:5">
      <c r="B33" s="26" t="str">
        <f>'EDC&amp;EDP_Est'!$A23</f>
        <v/>
      </c>
      <c r="C33" s="50" t="str">
        <f>IF($B33="","",'EDC&amp;EDP_Est'!$G23)</f>
        <v/>
      </c>
      <c r="D33" s="54" t="str">
        <f t="shared" si="0"/>
        <v/>
      </c>
      <c r="E33" s="54" t="str">
        <f t="shared" si="1"/>
        <v/>
      </c>
    </row>
    <row r="34" spans="2:5">
      <c r="B34" s="26" t="str">
        <f>'EDC&amp;EDP_Est'!$A24</f>
        <v/>
      </c>
      <c r="C34" s="50" t="str">
        <f>IF($B34="","",'EDC&amp;EDP_Est'!$G24)</f>
        <v/>
      </c>
      <c r="D34" s="54" t="str">
        <f t="shared" si="0"/>
        <v/>
      </c>
      <c r="E34" s="54" t="str">
        <f t="shared" si="1"/>
        <v/>
      </c>
    </row>
    <row r="35" spans="2:5">
      <c r="B35" s="26" t="str">
        <f>'EDC&amp;EDP_Est'!$A25</f>
        <v/>
      </c>
      <c r="C35" s="50" t="str">
        <f>IF($B35="","",'EDC&amp;EDP_Est'!$G25)</f>
        <v/>
      </c>
      <c r="D35" s="54" t="str">
        <f t="shared" si="0"/>
        <v/>
      </c>
      <c r="E35" s="54" t="str">
        <f t="shared" si="1"/>
        <v/>
      </c>
    </row>
    <row r="36" spans="2:5">
      <c r="B36" s="26" t="str">
        <f>'EDC&amp;EDP_Est'!$A26</f>
        <v/>
      </c>
      <c r="C36" s="50" t="str">
        <f>IF($B36="","",'EDC&amp;EDP_Est'!$G26)</f>
        <v/>
      </c>
      <c r="D36" s="54" t="str">
        <f t="shared" si="0"/>
        <v/>
      </c>
      <c r="E36" s="54" t="str">
        <f t="shared" si="1"/>
        <v/>
      </c>
    </row>
    <row r="37" spans="2:5">
      <c r="B37" s="26" t="str">
        <f>'EDC&amp;EDP_Est'!$A27</f>
        <v/>
      </c>
      <c r="C37" s="50" t="str">
        <f>IF($B37="","",'EDC&amp;EDP_Est'!$G27)</f>
        <v/>
      </c>
      <c r="D37" s="54" t="str">
        <f t="shared" si="0"/>
        <v/>
      </c>
      <c r="E37" s="54" t="str">
        <f t="shared" si="1"/>
        <v/>
      </c>
    </row>
    <row r="38" spans="2:5">
      <c r="B38" s="26" t="str">
        <f>'EDC&amp;EDP_Est'!$A28</f>
        <v/>
      </c>
      <c r="C38" s="50" t="str">
        <f>IF($B38="","",'EDC&amp;EDP_Est'!$G28)</f>
        <v/>
      </c>
      <c r="D38" s="54" t="str">
        <f t="shared" si="0"/>
        <v/>
      </c>
      <c r="E38" s="54" t="str">
        <f t="shared" si="1"/>
        <v/>
      </c>
    </row>
    <row r="39" spans="2:5">
      <c r="B39" s="26" t="str">
        <f>'EDC&amp;EDP_Est'!$A29</f>
        <v/>
      </c>
      <c r="C39" s="50" t="str">
        <f>IF($B39="","",'EDC&amp;EDP_Est'!$G29)</f>
        <v/>
      </c>
      <c r="D39" s="54" t="str">
        <f t="shared" si="0"/>
        <v/>
      </c>
      <c r="E39" s="54" t="str">
        <f t="shared" si="1"/>
        <v/>
      </c>
    </row>
    <row r="40" spans="2:5">
      <c r="B40" s="26" t="str">
        <f>'EDC&amp;EDP_Est'!$A30</f>
        <v/>
      </c>
      <c r="C40" s="50" t="str">
        <f>IF($B40="","",'EDC&amp;EDP_Est'!$G30)</f>
        <v/>
      </c>
      <c r="D40" s="54" t="str">
        <f t="shared" si="0"/>
        <v/>
      </c>
      <c r="E40" s="54" t="str">
        <f t="shared" si="1"/>
        <v/>
      </c>
    </row>
    <row r="41" spans="2:5">
      <c r="B41" s="26" t="str">
        <f>'EDC&amp;EDP_Est'!$A31</f>
        <v/>
      </c>
      <c r="C41" s="50" t="str">
        <f>IF($B41="","",'EDC&amp;EDP_Est'!$G31)</f>
        <v/>
      </c>
      <c r="D41" s="54" t="str">
        <f t="shared" si="0"/>
        <v/>
      </c>
      <c r="E41" s="54" t="str">
        <f t="shared" si="1"/>
        <v/>
      </c>
    </row>
    <row r="42" spans="2:5">
      <c r="B42" s="26" t="str">
        <f>'EDC&amp;EDP_Est'!$A32</f>
        <v/>
      </c>
      <c r="C42" s="50" t="str">
        <f>IF($B42="","",'EDC&amp;EDP_Est'!$G32)</f>
        <v/>
      </c>
      <c r="D42" s="54" t="str">
        <f t="shared" si="0"/>
        <v/>
      </c>
      <c r="E42" s="54" t="str">
        <f t="shared" si="1"/>
        <v/>
      </c>
    </row>
    <row r="43" spans="2:5">
      <c r="B43" s="26" t="str">
        <f>'EDC&amp;EDP_Est'!$A33</f>
        <v/>
      </c>
      <c r="C43" s="50" t="str">
        <f>IF($B43="","",'EDC&amp;EDP_Est'!$G33)</f>
        <v/>
      </c>
      <c r="D43" s="54" t="str">
        <f t="shared" si="0"/>
        <v/>
      </c>
      <c r="E43" s="54" t="str">
        <f t="shared" si="1"/>
        <v/>
      </c>
    </row>
    <row r="44" spans="2:5">
      <c r="B44" s="26" t="str">
        <f>'EDC&amp;EDP_Est'!$A34</f>
        <v/>
      </c>
      <c r="C44" s="50" t="str">
        <f>IF($B44="","",'EDC&amp;EDP_Est'!$G34)</f>
        <v/>
      </c>
      <c r="D44" s="54" t="str">
        <f t="shared" si="0"/>
        <v/>
      </c>
      <c r="E44" s="54" t="str">
        <f t="shared" si="1"/>
        <v/>
      </c>
    </row>
    <row r="45" spans="2:5">
      <c r="B45" s="26" t="str">
        <f>'EDC&amp;EDP_Est'!$A35</f>
        <v/>
      </c>
      <c r="C45" s="50" t="str">
        <f>IF($B45="","",'EDC&amp;EDP_Est'!$G35)</f>
        <v/>
      </c>
      <c r="D45" s="54" t="str">
        <f t="shared" si="0"/>
        <v/>
      </c>
      <c r="E45" s="54" t="str">
        <f t="shared" si="1"/>
        <v/>
      </c>
    </row>
    <row r="46" spans="2:5">
      <c r="B46" s="26" t="str">
        <f>'EDC&amp;EDP_Est'!$A36</f>
        <v/>
      </c>
      <c r="C46" s="50" t="str">
        <f>IF($B46="","",'EDC&amp;EDP_Est'!$G36)</f>
        <v/>
      </c>
      <c r="D46" s="54" t="str">
        <f t="shared" si="0"/>
        <v/>
      </c>
      <c r="E46" s="54" t="str">
        <f t="shared" si="1"/>
        <v/>
      </c>
    </row>
    <row r="47" spans="2:5">
      <c r="B47" s="26" t="str">
        <f>'EDC&amp;EDP_Est'!$A37</f>
        <v/>
      </c>
      <c r="C47" s="50" t="str">
        <f>IF($B47="","",'EDC&amp;EDP_Est'!$G37)</f>
        <v/>
      </c>
      <c r="D47" s="54" t="str">
        <f t="shared" si="0"/>
        <v/>
      </c>
      <c r="E47" s="54" t="str">
        <f t="shared" si="1"/>
        <v/>
      </c>
    </row>
    <row r="48" spans="2:5">
      <c r="B48" s="26" t="str">
        <f>'EDC&amp;EDP_Est'!$A38</f>
        <v/>
      </c>
      <c r="C48" s="50" t="str">
        <f>IF($B48="","",'EDC&amp;EDP_Est'!$G38)</f>
        <v/>
      </c>
      <c r="D48" s="54" t="str">
        <f t="shared" si="0"/>
        <v/>
      </c>
      <c r="E48" s="54" t="str">
        <f t="shared" si="1"/>
        <v/>
      </c>
    </row>
    <row r="49" spans="2:5">
      <c r="B49" s="26" t="str">
        <f>'EDC&amp;EDP_Est'!$A39</f>
        <v/>
      </c>
      <c r="C49" s="50" t="str">
        <f>IF($B49="","",'EDC&amp;EDP_Est'!$G39)</f>
        <v/>
      </c>
      <c r="D49" s="54" t="str">
        <f t="shared" si="0"/>
        <v/>
      </c>
      <c r="E49" s="54" t="str">
        <f t="shared" si="1"/>
        <v/>
      </c>
    </row>
    <row r="50" spans="2:5">
      <c r="B50" s="26" t="str">
        <f>'EDC&amp;EDP_Est'!$A40</f>
        <v/>
      </c>
      <c r="C50" s="50" t="str">
        <f>IF($B50="","",'EDC&amp;EDP_Est'!$G40)</f>
        <v/>
      </c>
      <c r="D50" s="54" t="str">
        <f t="shared" si="0"/>
        <v/>
      </c>
      <c r="E50" s="54" t="str">
        <f t="shared" si="1"/>
        <v/>
      </c>
    </row>
    <row r="51" spans="2:5">
      <c r="B51" s="26" t="str">
        <f>'EDC&amp;EDP_Est'!$A41</f>
        <v/>
      </c>
      <c r="C51" s="50" t="str">
        <f>IF($B51="","",'EDC&amp;EDP_Est'!$G41)</f>
        <v/>
      </c>
      <c r="D51" s="54" t="str">
        <f t="shared" si="0"/>
        <v/>
      </c>
      <c r="E51" s="54" t="str">
        <f t="shared" si="1"/>
        <v/>
      </c>
    </row>
    <row r="52" spans="2:5">
      <c r="B52" s="26" t="str">
        <f>'EDC&amp;EDP_Est'!$A42</f>
        <v/>
      </c>
      <c r="C52" s="50" t="str">
        <f>IF($B52="","",'EDC&amp;EDP_Est'!$G42)</f>
        <v/>
      </c>
      <c r="D52" s="54" t="str">
        <f t="shared" si="0"/>
        <v/>
      </c>
      <c r="E52" s="54" t="str">
        <f t="shared" si="1"/>
        <v/>
      </c>
    </row>
    <row r="53" spans="2:5">
      <c r="B53" s="26" t="str">
        <f>'EDC&amp;EDP_Est'!$A43</f>
        <v/>
      </c>
      <c r="C53" s="50" t="str">
        <f>IF($B53="","",'EDC&amp;EDP_Est'!$G43)</f>
        <v/>
      </c>
      <c r="D53" s="54" t="str">
        <f t="shared" si="0"/>
        <v/>
      </c>
      <c r="E53" s="54" t="str">
        <f t="shared" si="1"/>
        <v/>
      </c>
    </row>
    <row r="54" spans="2:5">
      <c r="B54" s="26" t="str">
        <f>'EDC&amp;EDP_Est'!$A44</f>
        <v/>
      </c>
      <c r="C54" s="50" t="str">
        <f>IF($B54="","",'EDC&amp;EDP_Est'!$G44)</f>
        <v/>
      </c>
      <c r="D54" s="54" t="str">
        <f t="shared" si="0"/>
        <v/>
      </c>
      <c r="E54" s="54" t="str">
        <f t="shared" si="1"/>
        <v/>
      </c>
    </row>
    <row r="55" spans="2:5">
      <c r="B55" s="26" t="str">
        <f>'EDC&amp;EDP_Est'!$A45</f>
        <v/>
      </c>
      <c r="C55" s="50" t="str">
        <f>IF($B55="","",'EDC&amp;EDP_Est'!$G45)</f>
        <v/>
      </c>
      <c r="D55" s="54" t="str">
        <f t="shared" si="0"/>
        <v/>
      </c>
      <c r="E55" s="54" t="str">
        <f t="shared" si="1"/>
        <v/>
      </c>
    </row>
    <row r="56" spans="2:5">
      <c r="B56" s="26" t="str">
        <f>'EDC&amp;EDP_Est'!$A46</f>
        <v/>
      </c>
      <c r="C56" s="50" t="str">
        <f>IF($B56="","",'EDC&amp;EDP_Est'!$G46)</f>
        <v/>
      </c>
      <c r="D56" s="54" t="str">
        <f t="shared" si="0"/>
        <v/>
      </c>
      <c r="E56" s="54" t="str">
        <f t="shared" si="1"/>
        <v/>
      </c>
    </row>
    <row r="57" spans="2:5">
      <c r="B57" s="26" t="str">
        <f>'EDC&amp;EDP_Est'!$A47</f>
        <v/>
      </c>
      <c r="C57" s="50" t="str">
        <f>IF($B57="","",'EDC&amp;EDP_Est'!$G47)</f>
        <v/>
      </c>
      <c r="D57" s="54" t="str">
        <f t="shared" si="0"/>
        <v/>
      </c>
      <c r="E57" s="54" t="str">
        <f t="shared" si="1"/>
        <v/>
      </c>
    </row>
    <row r="58" spans="2:5">
      <c r="B58" s="26" t="str">
        <f>'EDC&amp;EDP_Est'!$A48</f>
        <v/>
      </c>
      <c r="C58" s="50" t="str">
        <f>IF($B58="","",'EDC&amp;EDP_Est'!$G48)</f>
        <v/>
      </c>
      <c r="D58" s="54" t="str">
        <f t="shared" si="0"/>
        <v/>
      </c>
      <c r="E58" s="54" t="str">
        <f t="shared" si="1"/>
        <v/>
      </c>
    </row>
    <row r="59" spans="2:5">
      <c r="B59" s="26" t="str">
        <f>'EDC&amp;EDP_Est'!$A49</f>
        <v/>
      </c>
      <c r="C59" s="50" t="str">
        <f>IF($B59="","",'EDC&amp;EDP_Est'!$G49)</f>
        <v/>
      </c>
      <c r="D59" s="54" t="str">
        <f t="shared" si="0"/>
        <v/>
      </c>
      <c r="E59" s="54" t="str">
        <f t="shared" si="1"/>
        <v/>
      </c>
    </row>
    <row r="60" spans="2:5">
      <c r="B60" s="26" t="str">
        <f>'EDC&amp;EDP_Est'!$A50</f>
        <v/>
      </c>
      <c r="C60" s="50" t="str">
        <f>IF($B60="","",'EDC&amp;EDP_Est'!$G50)</f>
        <v/>
      </c>
      <c r="D60" s="54" t="str">
        <f t="shared" si="0"/>
        <v/>
      </c>
      <c r="E60" s="54" t="str">
        <f t="shared" si="1"/>
        <v/>
      </c>
    </row>
    <row r="61" spans="2:5">
      <c r="B61" s="26" t="str">
        <f>'EDC&amp;EDP_Est'!$A51</f>
        <v/>
      </c>
      <c r="C61" s="50" t="str">
        <f>IF($B61="","",'EDC&amp;EDP_Est'!$G51)</f>
        <v/>
      </c>
      <c r="D61" s="54" t="str">
        <f t="shared" si="0"/>
        <v/>
      </c>
      <c r="E61" s="54" t="str">
        <f t="shared" si="1"/>
        <v/>
      </c>
    </row>
    <row r="62" spans="2:5">
      <c r="B62" s="26" t="str">
        <f>'EDC&amp;EDP_Est'!$A52</f>
        <v/>
      </c>
      <c r="C62" s="50" t="str">
        <f>IF($B62="","",'EDC&amp;EDP_Est'!$G52)</f>
        <v/>
      </c>
      <c r="D62" s="54" t="str">
        <f t="shared" si="0"/>
        <v/>
      </c>
      <c r="E62" s="54" t="str">
        <f t="shared" si="1"/>
        <v/>
      </c>
    </row>
    <row r="63" spans="2:5">
      <c r="B63" s="26" t="str">
        <f>'EDC&amp;EDP_Est'!$A53</f>
        <v/>
      </c>
      <c r="C63" s="50" t="str">
        <f>IF($B63="","",'EDC&amp;EDP_Est'!$G53)</f>
        <v/>
      </c>
      <c r="D63" s="54" t="str">
        <f t="shared" si="0"/>
        <v/>
      </c>
      <c r="E63" s="54" t="str">
        <f t="shared" si="1"/>
        <v/>
      </c>
    </row>
    <row r="64" spans="2:5">
      <c r="B64" s="26" t="str">
        <f>'EDC&amp;EDP_Est'!$A54</f>
        <v/>
      </c>
      <c r="C64" s="50" t="str">
        <f>IF($B64="","",'EDC&amp;EDP_Est'!$G54)</f>
        <v/>
      </c>
      <c r="D64" s="54" t="str">
        <f t="shared" si="0"/>
        <v/>
      </c>
      <c r="E64" s="54" t="str">
        <f t="shared" si="1"/>
        <v/>
      </c>
    </row>
    <row r="65" spans="2:5">
      <c r="B65" s="26" t="str">
        <f>'EDC&amp;EDP_Est'!$A55</f>
        <v/>
      </c>
      <c r="C65" s="50" t="str">
        <f>IF($B65="","",'EDC&amp;EDP_Est'!$G55)</f>
        <v/>
      </c>
      <c r="D65" s="54" t="str">
        <f t="shared" si="0"/>
        <v/>
      </c>
      <c r="E65" s="54" t="str">
        <f t="shared" si="1"/>
        <v/>
      </c>
    </row>
    <row r="66" spans="2:5">
      <c r="B66" s="26" t="str">
        <f>'EDC&amp;EDP_Est'!$A56</f>
        <v/>
      </c>
      <c r="C66" s="50" t="str">
        <f>IF($B66="","",'EDC&amp;EDP_Est'!$G56)</f>
        <v/>
      </c>
      <c r="D66" s="54" t="str">
        <f t="shared" si="0"/>
        <v/>
      </c>
      <c r="E66" s="54" t="str">
        <f t="shared" si="1"/>
        <v/>
      </c>
    </row>
    <row r="67" spans="2:5">
      <c r="B67" s="26" t="str">
        <f>'EDC&amp;EDP_Est'!$A57</f>
        <v/>
      </c>
      <c r="C67" s="50" t="str">
        <f>IF($B67="","",'EDC&amp;EDP_Est'!$G57)</f>
        <v/>
      </c>
      <c r="D67" s="54" t="str">
        <f t="shared" si="0"/>
        <v/>
      </c>
      <c r="E67" s="54" t="str">
        <f t="shared" si="1"/>
        <v/>
      </c>
    </row>
    <row r="68" spans="2:5">
      <c r="B68" s="26" t="str">
        <f>'EDC&amp;EDP_Est'!$A58</f>
        <v/>
      </c>
      <c r="C68" s="50" t="str">
        <f>IF($B68="","",'EDC&amp;EDP_Est'!$G58)</f>
        <v/>
      </c>
      <c r="D68" s="54" t="str">
        <f t="shared" si="0"/>
        <v/>
      </c>
      <c r="E68" s="54" t="str">
        <f t="shared" si="1"/>
        <v/>
      </c>
    </row>
    <row r="69" spans="2:5">
      <c r="B69" s="26" t="str">
        <f>'EDC&amp;EDP_Est'!$A59</f>
        <v/>
      </c>
      <c r="C69" s="50" t="str">
        <f>IF($B69="","",'EDC&amp;EDP_Est'!$G59)</f>
        <v/>
      </c>
      <c r="D69" s="54" t="str">
        <f t="shared" si="0"/>
        <v/>
      </c>
      <c r="E69" s="54" t="str">
        <f t="shared" si="1"/>
        <v/>
      </c>
    </row>
    <row r="70" spans="2:5">
      <c r="B70" s="26" t="str">
        <f>'EDC&amp;EDP_Est'!$A60</f>
        <v/>
      </c>
      <c r="C70" s="50" t="str">
        <f>IF($B70="","",'EDC&amp;EDP_Est'!$G60)</f>
        <v/>
      </c>
      <c r="D70" s="54" t="str">
        <f t="shared" si="0"/>
        <v/>
      </c>
      <c r="E70" s="54" t="str">
        <f t="shared" si="1"/>
        <v/>
      </c>
    </row>
    <row r="71" spans="2:5">
      <c r="B71" s="26" t="str">
        <f>'EDC&amp;EDP_Est'!$A61</f>
        <v/>
      </c>
      <c r="C71" s="50" t="str">
        <f>IF($B71="","",'EDC&amp;EDP_Est'!$G61)</f>
        <v/>
      </c>
      <c r="D71" s="54" t="str">
        <f t="shared" si="0"/>
        <v/>
      </c>
      <c r="E71" s="54" t="str">
        <f t="shared" si="1"/>
        <v/>
      </c>
    </row>
    <row r="72" spans="2:5">
      <c r="B72" s="26" t="str">
        <f>'EDC&amp;EDP_Est'!$A62</f>
        <v/>
      </c>
      <c r="C72" s="50" t="str">
        <f>IF($B72="","",'EDC&amp;EDP_Est'!$G62)</f>
        <v/>
      </c>
      <c r="D72" s="54" t="str">
        <f t="shared" si="0"/>
        <v/>
      </c>
      <c r="E72" s="54" t="str">
        <f t="shared" si="1"/>
        <v/>
      </c>
    </row>
    <row r="73" spans="2:5">
      <c r="B73" s="26" t="str">
        <f>'EDC&amp;EDP_Est'!$A63</f>
        <v/>
      </c>
      <c r="C73" s="50" t="str">
        <f>IF($B73="","",'EDC&amp;EDP_Est'!$G63)</f>
        <v/>
      </c>
      <c r="D73" s="54" t="str">
        <f t="shared" si="0"/>
        <v/>
      </c>
      <c r="E73" s="54" t="str">
        <f t="shared" si="1"/>
        <v/>
      </c>
    </row>
    <row r="74" spans="2:5">
      <c r="B74" s="26" t="str">
        <f>'EDC&amp;EDP_Est'!$A64</f>
        <v/>
      </c>
      <c r="C74" s="50" t="str">
        <f>IF($B74="","",'EDC&amp;EDP_Est'!$G64)</f>
        <v/>
      </c>
      <c r="D74" s="54" t="str">
        <f t="shared" si="0"/>
        <v/>
      </c>
      <c r="E74" s="54" t="str">
        <f t="shared" si="1"/>
        <v/>
      </c>
    </row>
    <row r="75" spans="2:5">
      <c r="B75" s="26" t="str">
        <f>'EDC&amp;EDP_Est'!$A65</f>
        <v/>
      </c>
      <c r="C75" s="50" t="str">
        <f>IF($B75="","",'EDC&amp;EDP_Est'!$G65)</f>
        <v/>
      </c>
      <c r="D75" s="54" t="str">
        <f t="shared" si="0"/>
        <v/>
      </c>
      <c r="E75" s="54" t="str">
        <f t="shared" si="1"/>
        <v/>
      </c>
    </row>
    <row r="76" spans="2:5">
      <c r="B76" s="26" t="str">
        <f>'EDC&amp;EDP_Est'!$A66</f>
        <v/>
      </c>
      <c r="C76" s="50" t="str">
        <f>IF($B76="","",'EDC&amp;EDP_Est'!$G66)</f>
        <v/>
      </c>
      <c r="D76" s="54" t="str">
        <f t="shared" si="0"/>
        <v/>
      </c>
      <c r="E76" s="54" t="str">
        <f t="shared" si="1"/>
        <v/>
      </c>
    </row>
    <row r="77" spans="2:5">
      <c r="B77" s="26" t="str">
        <f>'EDC&amp;EDP_Est'!$A67</f>
        <v/>
      </c>
      <c r="C77" s="50" t="str">
        <f>IF($B77="","",'EDC&amp;EDP_Est'!$G67)</f>
        <v/>
      </c>
      <c r="D77" s="54" t="str">
        <f t="shared" si="0"/>
        <v/>
      </c>
      <c r="E77" s="54" t="str">
        <f t="shared" si="1"/>
        <v/>
      </c>
    </row>
    <row r="78" spans="2:5">
      <c r="B78" s="26" t="str">
        <f>'EDC&amp;EDP_Est'!$A68</f>
        <v/>
      </c>
      <c r="C78" s="50" t="str">
        <f>IF($B78="","",'EDC&amp;EDP_Est'!$G68)</f>
        <v/>
      </c>
      <c r="D78" s="54" t="str">
        <f t="shared" si="0"/>
        <v/>
      </c>
      <c r="E78" s="54" t="str">
        <f t="shared" si="1"/>
        <v/>
      </c>
    </row>
    <row r="79" spans="2:5">
      <c r="B79" s="26" t="str">
        <f>'EDC&amp;EDP_Est'!$A69</f>
        <v/>
      </c>
      <c r="C79" s="50" t="str">
        <f>IF($B79="","",'EDC&amp;EDP_Est'!$G69)</f>
        <v/>
      </c>
      <c r="D79" s="54" t="str">
        <f t="shared" ref="D79:D142" si="2">IF(AND(ISNUMBER(C79),ISNUMBER($C$6)),C79/$C$6,"")</f>
        <v/>
      </c>
      <c r="E79" s="54" t="str">
        <f t="shared" ref="E79:E142" si="3">IF(AND(ISNUMBER(C79),ISNUMBER($C$9)),C79/$C$9*$C$10,"")</f>
        <v/>
      </c>
    </row>
    <row r="80" spans="2:5">
      <c r="B80" s="26" t="str">
        <f>'EDC&amp;EDP_Est'!$A70</f>
        <v/>
      </c>
      <c r="C80" s="50" t="str">
        <f>IF($B80="","",'EDC&amp;EDP_Est'!$G70)</f>
        <v/>
      </c>
      <c r="D80" s="54" t="str">
        <f t="shared" si="2"/>
        <v/>
      </c>
      <c r="E80" s="54" t="str">
        <f t="shared" si="3"/>
        <v/>
      </c>
    </row>
    <row r="81" spans="2:5">
      <c r="B81" s="26" t="str">
        <f>'EDC&amp;EDP_Est'!$A71</f>
        <v/>
      </c>
      <c r="C81" s="50" t="str">
        <f>IF($B81="","",'EDC&amp;EDP_Est'!$G71)</f>
        <v/>
      </c>
      <c r="D81" s="54" t="str">
        <f t="shared" si="2"/>
        <v/>
      </c>
      <c r="E81" s="54" t="str">
        <f t="shared" si="3"/>
        <v/>
      </c>
    </row>
    <row r="82" spans="2:5">
      <c r="B82" s="26" t="str">
        <f>'EDC&amp;EDP_Est'!$A72</f>
        <v/>
      </c>
      <c r="C82" s="50" t="str">
        <f>IF($B82="","",'EDC&amp;EDP_Est'!$G72)</f>
        <v/>
      </c>
      <c r="D82" s="54" t="str">
        <f t="shared" si="2"/>
        <v/>
      </c>
      <c r="E82" s="54" t="str">
        <f t="shared" si="3"/>
        <v/>
      </c>
    </row>
    <row r="83" spans="2:5">
      <c r="B83" s="26" t="str">
        <f>'EDC&amp;EDP_Est'!$A73</f>
        <v/>
      </c>
      <c r="C83" s="50" t="str">
        <f>IF($B83="","",'EDC&amp;EDP_Est'!$G73)</f>
        <v/>
      </c>
      <c r="D83" s="54" t="str">
        <f t="shared" si="2"/>
        <v/>
      </c>
      <c r="E83" s="54" t="str">
        <f t="shared" si="3"/>
        <v/>
      </c>
    </row>
    <row r="84" spans="2:5">
      <c r="B84" s="26" t="str">
        <f>'EDC&amp;EDP_Est'!$A74</f>
        <v/>
      </c>
      <c r="C84" s="50" t="str">
        <f>IF($B84="","",'EDC&amp;EDP_Est'!$G74)</f>
        <v/>
      </c>
      <c r="D84" s="54" t="str">
        <f t="shared" si="2"/>
        <v/>
      </c>
      <c r="E84" s="54" t="str">
        <f t="shared" si="3"/>
        <v/>
      </c>
    </row>
    <row r="85" spans="2:5">
      <c r="B85" s="26" t="str">
        <f>'EDC&amp;EDP_Est'!$A75</f>
        <v/>
      </c>
      <c r="C85" s="50" t="str">
        <f>IF($B85="","",'EDC&amp;EDP_Est'!$G75)</f>
        <v/>
      </c>
      <c r="D85" s="54" t="str">
        <f t="shared" si="2"/>
        <v/>
      </c>
      <c r="E85" s="54" t="str">
        <f t="shared" si="3"/>
        <v/>
      </c>
    </row>
    <row r="86" spans="2:5">
      <c r="B86" s="26" t="str">
        <f>'EDC&amp;EDP_Est'!$A76</f>
        <v/>
      </c>
      <c r="C86" s="50" t="str">
        <f>IF($B86="","",'EDC&amp;EDP_Est'!$G76)</f>
        <v/>
      </c>
      <c r="D86" s="54" t="str">
        <f t="shared" si="2"/>
        <v/>
      </c>
      <c r="E86" s="54" t="str">
        <f t="shared" si="3"/>
        <v/>
      </c>
    </row>
    <row r="87" spans="2:5">
      <c r="B87" s="26" t="str">
        <f>'EDC&amp;EDP_Est'!$A77</f>
        <v/>
      </c>
      <c r="C87" s="50" t="str">
        <f>IF($B87="","",'EDC&amp;EDP_Est'!$G77)</f>
        <v/>
      </c>
      <c r="D87" s="54" t="str">
        <f t="shared" si="2"/>
        <v/>
      </c>
      <c r="E87" s="54" t="str">
        <f t="shared" si="3"/>
        <v/>
      </c>
    </row>
    <row r="88" spans="2:5">
      <c r="B88" s="26" t="str">
        <f>'EDC&amp;EDP_Est'!$A78</f>
        <v/>
      </c>
      <c r="C88" s="50" t="str">
        <f>IF($B88="","",'EDC&amp;EDP_Est'!$G78)</f>
        <v/>
      </c>
      <c r="D88" s="54" t="str">
        <f t="shared" si="2"/>
        <v/>
      </c>
      <c r="E88" s="54" t="str">
        <f t="shared" si="3"/>
        <v/>
      </c>
    </row>
    <row r="89" spans="2:5">
      <c r="B89" s="26" t="str">
        <f>'EDC&amp;EDP_Est'!$A79</f>
        <v/>
      </c>
      <c r="C89" s="50" t="str">
        <f>IF($B89="","",'EDC&amp;EDP_Est'!$G79)</f>
        <v/>
      </c>
      <c r="D89" s="54" t="str">
        <f t="shared" si="2"/>
        <v/>
      </c>
      <c r="E89" s="54" t="str">
        <f t="shared" si="3"/>
        <v/>
      </c>
    </row>
    <row r="90" spans="2:5">
      <c r="B90" s="26" t="str">
        <f>'EDC&amp;EDP_Est'!$A80</f>
        <v/>
      </c>
      <c r="C90" s="50" t="str">
        <f>IF($B90="","",'EDC&amp;EDP_Est'!$G80)</f>
        <v/>
      </c>
      <c r="D90" s="54" t="str">
        <f t="shared" si="2"/>
        <v/>
      </c>
      <c r="E90" s="54" t="str">
        <f t="shared" si="3"/>
        <v/>
      </c>
    </row>
    <row r="91" spans="2:5">
      <c r="B91" s="26" t="str">
        <f>'EDC&amp;EDP_Est'!$A81</f>
        <v/>
      </c>
      <c r="C91" s="50" t="str">
        <f>IF($B91="","",'EDC&amp;EDP_Est'!$G81)</f>
        <v/>
      </c>
      <c r="D91" s="54" t="str">
        <f t="shared" si="2"/>
        <v/>
      </c>
      <c r="E91" s="54" t="str">
        <f t="shared" si="3"/>
        <v/>
      </c>
    </row>
    <row r="92" spans="2:5">
      <c r="B92" s="26" t="str">
        <f>'EDC&amp;EDP_Est'!$A82</f>
        <v/>
      </c>
      <c r="C92" s="50" t="str">
        <f>IF($B92="","",'EDC&amp;EDP_Est'!$G82)</f>
        <v/>
      </c>
      <c r="D92" s="54" t="str">
        <f t="shared" si="2"/>
        <v/>
      </c>
      <c r="E92" s="54" t="str">
        <f t="shared" si="3"/>
        <v/>
      </c>
    </row>
    <row r="93" spans="2:5">
      <c r="B93" s="26" t="str">
        <f>'EDC&amp;EDP_Est'!$A83</f>
        <v/>
      </c>
      <c r="C93" s="50" t="str">
        <f>IF($B93="","",'EDC&amp;EDP_Est'!$G83)</f>
        <v/>
      </c>
      <c r="D93" s="54" t="str">
        <f t="shared" si="2"/>
        <v/>
      </c>
      <c r="E93" s="54" t="str">
        <f t="shared" si="3"/>
        <v/>
      </c>
    </row>
    <row r="94" spans="2:5">
      <c r="B94" s="26" t="str">
        <f>'EDC&amp;EDP_Est'!$A84</f>
        <v/>
      </c>
      <c r="C94" s="50" t="str">
        <f>IF($B94="","",'EDC&amp;EDP_Est'!$G84)</f>
        <v/>
      </c>
      <c r="D94" s="54" t="str">
        <f t="shared" si="2"/>
        <v/>
      </c>
      <c r="E94" s="54" t="str">
        <f t="shared" si="3"/>
        <v/>
      </c>
    </row>
    <row r="95" spans="2:5">
      <c r="B95" s="26" t="str">
        <f>'EDC&amp;EDP_Est'!$A85</f>
        <v/>
      </c>
      <c r="C95" s="50" t="str">
        <f>IF($B95="","",'EDC&amp;EDP_Est'!$G85)</f>
        <v/>
      </c>
      <c r="D95" s="54" t="str">
        <f t="shared" si="2"/>
        <v/>
      </c>
      <c r="E95" s="54" t="str">
        <f t="shared" si="3"/>
        <v/>
      </c>
    </row>
    <row r="96" spans="2:5">
      <c r="B96" s="26" t="str">
        <f>'EDC&amp;EDP_Est'!$A86</f>
        <v/>
      </c>
      <c r="C96" s="50" t="str">
        <f>IF($B96="","",'EDC&amp;EDP_Est'!$G86)</f>
        <v/>
      </c>
      <c r="D96" s="54" t="str">
        <f t="shared" si="2"/>
        <v/>
      </c>
      <c r="E96" s="54" t="str">
        <f t="shared" si="3"/>
        <v/>
      </c>
    </row>
    <row r="97" spans="2:5">
      <c r="B97" s="26" t="str">
        <f>'EDC&amp;EDP_Est'!$A87</f>
        <v/>
      </c>
      <c r="C97" s="50" t="str">
        <f>IF($B97="","",'EDC&amp;EDP_Est'!$G87)</f>
        <v/>
      </c>
      <c r="D97" s="54" t="str">
        <f t="shared" si="2"/>
        <v/>
      </c>
      <c r="E97" s="54" t="str">
        <f t="shared" si="3"/>
        <v/>
      </c>
    </row>
    <row r="98" spans="2:5">
      <c r="B98" s="26" t="str">
        <f>'EDC&amp;EDP_Est'!$A88</f>
        <v/>
      </c>
      <c r="C98" s="50" t="str">
        <f>IF($B98="","",'EDC&amp;EDP_Est'!$G88)</f>
        <v/>
      </c>
      <c r="D98" s="54" t="str">
        <f t="shared" si="2"/>
        <v/>
      </c>
      <c r="E98" s="54" t="str">
        <f t="shared" si="3"/>
        <v/>
      </c>
    </row>
    <row r="99" spans="2:5">
      <c r="B99" s="26" t="str">
        <f>'EDC&amp;EDP_Est'!$A89</f>
        <v/>
      </c>
      <c r="C99" s="50" t="str">
        <f>IF($B99="","",'EDC&amp;EDP_Est'!$G89)</f>
        <v/>
      </c>
      <c r="D99" s="54" t="str">
        <f t="shared" si="2"/>
        <v/>
      </c>
      <c r="E99" s="54" t="str">
        <f t="shared" si="3"/>
        <v/>
      </c>
    </row>
    <row r="100" spans="2:5">
      <c r="B100" s="26" t="str">
        <f>'EDC&amp;EDP_Est'!$A90</f>
        <v/>
      </c>
      <c r="C100" s="50" t="str">
        <f>IF($B100="","",'EDC&amp;EDP_Est'!$G90)</f>
        <v/>
      </c>
      <c r="D100" s="54" t="str">
        <f t="shared" si="2"/>
        <v/>
      </c>
      <c r="E100" s="54" t="str">
        <f t="shared" si="3"/>
        <v/>
      </c>
    </row>
    <row r="101" spans="2:5">
      <c r="B101" s="26" t="str">
        <f>'EDC&amp;EDP_Est'!$A91</f>
        <v/>
      </c>
      <c r="C101" s="50" t="str">
        <f>IF($B101="","",'EDC&amp;EDP_Est'!$G91)</f>
        <v/>
      </c>
      <c r="D101" s="54" t="str">
        <f t="shared" si="2"/>
        <v/>
      </c>
      <c r="E101" s="54" t="str">
        <f t="shared" si="3"/>
        <v/>
      </c>
    </row>
    <row r="102" spans="2:5">
      <c r="B102" s="26" t="str">
        <f>'EDC&amp;EDP_Est'!$A92</f>
        <v/>
      </c>
      <c r="C102" s="50" t="str">
        <f>IF($B102="","",'EDC&amp;EDP_Est'!$G92)</f>
        <v/>
      </c>
      <c r="D102" s="54" t="str">
        <f t="shared" si="2"/>
        <v/>
      </c>
      <c r="E102" s="54" t="str">
        <f t="shared" si="3"/>
        <v/>
      </c>
    </row>
    <row r="103" spans="2:5">
      <c r="B103" s="26" t="str">
        <f>'EDC&amp;EDP_Est'!$A93</f>
        <v/>
      </c>
      <c r="C103" s="50" t="str">
        <f>IF($B103="","",'EDC&amp;EDP_Est'!$G93)</f>
        <v/>
      </c>
      <c r="D103" s="54" t="str">
        <f t="shared" si="2"/>
        <v/>
      </c>
      <c r="E103" s="54" t="str">
        <f t="shared" si="3"/>
        <v/>
      </c>
    </row>
    <row r="104" spans="2:5">
      <c r="B104" s="26" t="str">
        <f>'EDC&amp;EDP_Est'!$A94</f>
        <v/>
      </c>
      <c r="C104" s="50" t="str">
        <f>IF($B104="","",'EDC&amp;EDP_Est'!$G94)</f>
        <v/>
      </c>
      <c r="D104" s="54" t="str">
        <f t="shared" si="2"/>
        <v/>
      </c>
      <c r="E104" s="54" t="str">
        <f t="shared" si="3"/>
        <v/>
      </c>
    </row>
    <row r="105" spans="2:5">
      <c r="B105" s="26" t="str">
        <f>'EDC&amp;EDP_Est'!$A95</f>
        <v/>
      </c>
      <c r="C105" s="50" t="str">
        <f>IF($B105="","",'EDC&amp;EDP_Est'!$G95)</f>
        <v/>
      </c>
      <c r="D105" s="54" t="str">
        <f t="shared" si="2"/>
        <v/>
      </c>
      <c r="E105" s="54" t="str">
        <f t="shared" si="3"/>
        <v/>
      </c>
    </row>
    <row r="106" spans="2:5">
      <c r="B106" s="26" t="str">
        <f>'EDC&amp;EDP_Est'!$A96</f>
        <v/>
      </c>
      <c r="C106" s="50" t="str">
        <f>IF($B106="","",'EDC&amp;EDP_Est'!$G96)</f>
        <v/>
      </c>
      <c r="D106" s="54" t="str">
        <f t="shared" si="2"/>
        <v/>
      </c>
      <c r="E106" s="54" t="str">
        <f t="shared" si="3"/>
        <v/>
      </c>
    </row>
    <row r="107" spans="2:5">
      <c r="B107" s="26" t="str">
        <f>'EDC&amp;EDP_Est'!$A97</f>
        <v/>
      </c>
      <c r="C107" s="50" t="str">
        <f>IF($B107="","",'EDC&amp;EDP_Est'!$G97)</f>
        <v/>
      </c>
      <c r="D107" s="54" t="str">
        <f t="shared" si="2"/>
        <v/>
      </c>
      <c r="E107" s="54" t="str">
        <f t="shared" si="3"/>
        <v/>
      </c>
    </row>
    <row r="108" spans="2:5">
      <c r="B108" s="26" t="str">
        <f>'EDC&amp;EDP_Est'!$A98</f>
        <v/>
      </c>
      <c r="C108" s="50" t="str">
        <f>IF($B108="","",'EDC&amp;EDP_Est'!$G98)</f>
        <v/>
      </c>
      <c r="D108" s="54" t="str">
        <f t="shared" si="2"/>
        <v/>
      </c>
      <c r="E108" s="54" t="str">
        <f t="shared" si="3"/>
        <v/>
      </c>
    </row>
    <row r="109" spans="2:5">
      <c r="B109" s="26" t="str">
        <f>'EDC&amp;EDP_Est'!$A99</f>
        <v/>
      </c>
      <c r="C109" s="50" t="str">
        <f>IF($B109="","",'EDC&amp;EDP_Est'!$G99)</f>
        <v/>
      </c>
      <c r="D109" s="54" t="str">
        <f t="shared" si="2"/>
        <v/>
      </c>
      <c r="E109" s="54" t="str">
        <f t="shared" si="3"/>
        <v/>
      </c>
    </row>
    <row r="110" spans="2:5">
      <c r="B110" s="26" t="str">
        <f>'EDC&amp;EDP_Est'!$A100</f>
        <v/>
      </c>
      <c r="C110" s="50" t="str">
        <f>IF($B110="","",'EDC&amp;EDP_Est'!$G100)</f>
        <v/>
      </c>
      <c r="D110" s="54" t="str">
        <f t="shared" si="2"/>
        <v/>
      </c>
      <c r="E110" s="54" t="str">
        <f t="shared" si="3"/>
        <v/>
      </c>
    </row>
    <row r="111" spans="2:5">
      <c r="B111" s="26" t="str">
        <f>'EDC&amp;EDP_Est'!$A101</f>
        <v/>
      </c>
      <c r="C111" s="50" t="str">
        <f>IF($B111="","",'EDC&amp;EDP_Est'!$G101)</f>
        <v/>
      </c>
      <c r="D111" s="54" t="str">
        <f t="shared" si="2"/>
        <v/>
      </c>
      <c r="E111" s="54" t="str">
        <f t="shared" si="3"/>
        <v/>
      </c>
    </row>
    <row r="112" spans="2:5">
      <c r="B112" s="26" t="str">
        <f>'EDC&amp;EDP_Est'!$A102</f>
        <v/>
      </c>
      <c r="C112" s="50" t="str">
        <f>IF($B112="","",'EDC&amp;EDP_Est'!$G102)</f>
        <v/>
      </c>
      <c r="D112" s="54" t="str">
        <f t="shared" si="2"/>
        <v/>
      </c>
      <c r="E112" s="54" t="str">
        <f t="shared" si="3"/>
        <v/>
      </c>
    </row>
    <row r="113" spans="2:5">
      <c r="B113" s="26" t="str">
        <f>'EDC&amp;EDP_Est'!$A103</f>
        <v/>
      </c>
      <c r="C113" s="50" t="str">
        <f>IF($B113="","",'EDC&amp;EDP_Est'!$G103)</f>
        <v/>
      </c>
      <c r="D113" s="54" t="str">
        <f t="shared" si="2"/>
        <v/>
      </c>
      <c r="E113" s="54" t="str">
        <f t="shared" si="3"/>
        <v/>
      </c>
    </row>
    <row r="114" spans="2:5">
      <c r="B114" s="26" t="str">
        <f>'EDC&amp;EDP_Est'!$A104</f>
        <v/>
      </c>
      <c r="C114" s="50" t="str">
        <f>IF($B114="","",'EDC&amp;EDP_Est'!$G104)</f>
        <v/>
      </c>
      <c r="D114" s="54" t="str">
        <f t="shared" si="2"/>
        <v/>
      </c>
      <c r="E114" s="54" t="str">
        <f t="shared" si="3"/>
        <v/>
      </c>
    </row>
    <row r="115" spans="2:5">
      <c r="B115" s="26" t="str">
        <f>'EDC&amp;EDP_Est'!$A105</f>
        <v/>
      </c>
      <c r="C115" s="50" t="str">
        <f>IF($B115="","",'EDC&amp;EDP_Est'!$G105)</f>
        <v/>
      </c>
      <c r="D115" s="54" t="str">
        <f t="shared" si="2"/>
        <v/>
      </c>
      <c r="E115" s="54" t="str">
        <f t="shared" si="3"/>
        <v/>
      </c>
    </row>
    <row r="116" spans="2:5">
      <c r="B116" s="26" t="str">
        <f>'EDC&amp;EDP_Est'!$A106</f>
        <v/>
      </c>
      <c r="C116" s="50" t="str">
        <f>IF($B116="","",'EDC&amp;EDP_Est'!$G106)</f>
        <v/>
      </c>
      <c r="D116" s="54" t="str">
        <f t="shared" si="2"/>
        <v/>
      </c>
      <c r="E116" s="54" t="str">
        <f t="shared" si="3"/>
        <v/>
      </c>
    </row>
    <row r="117" spans="2:5">
      <c r="B117" s="26" t="str">
        <f>'EDC&amp;EDP_Est'!$A107</f>
        <v/>
      </c>
      <c r="C117" s="50" t="str">
        <f>IF($B117="","",'EDC&amp;EDP_Est'!$G107)</f>
        <v/>
      </c>
      <c r="D117" s="54" t="str">
        <f t="shared" si="2"/>
        <v/>
      </c>
      <c r="E117" s="54" t="str">
        <f t="shared" si="3"/>
        <v/>
      </c>
    </row>
    <row r="118" spans="2:5">
      <c r="B118" s="26" t="str">
        <f>'EDC&amp;EDP_Est'!$A108</f>
        <v/>
      </c>
      <c r="C118" s="50" t="str">
        <f>IF($B118="","",'EDC&amp;EDP_Est'!$G108)</f>
        <v/>
      </c>
      <c r="D118" s="54" t="str">
        <f t="shared" si="2"/>
        <v/>
      </c>
      <c r="E118" s="54" t="str">
        <f t="shared" si="3"/>
        <v/>
      </c>
    </row>
    <row r="119" spans="2:5">
      <c r="B119" s="26" t="str">
        <f>'EDC&amp;EDP_Est'!$A109</f>
        <v/>
      </c>
      <c r="C119" s="50" t="str">
        <f>IF($B119="","",'EDC&amp;EDP_Est'!$G109)</f>
        <v/>
      </c>
      <c r="D119" s="54" t="str">
        <f t="shared" si="2"/>
        <v/>
      </c>
      <c r="E119" s="54" t="str">
        <f t="shared" si="3"/>
        <v/>
      </c>
    </row>
    <row r="120" spans="2:5">
      <c r="B120" s="26" t="str">
        <f>'EDC&amp;EDP_Est'!$A110</f>
        <v/>
      </c>
      <c r="C120" s="50" t="str">
        <f>IF($B120="","",'EDC&amp;EDP_Est'!$G110)</f>
        <v/>
      </c>
      <c r="D120" s="54" t="str">
        <f t="shared" si="2"/>
        <v/>
      </c>
      <c r="E120" s="54" t="str">
        <f t="shared" si="3"/>
        <v/>
      </c>
    </row>
    <row r="121" spans="2:5">
      <c r="B121" s="26" t="str">
        <f>'EDC&amp;EDP_Est'!$A111</f>
        <v/>
      </c>
      <c r="C121" s="50" t="str">
        <f>IF($B121="","",'EDC&amp;EDP_Est'!$G111)</f>
        <v/>
      </c>
      <c r="D121" s="54" t="str">
        <f t="shared" si="2"/>
        <v/>
      </c>
      <c r="E121" s="54" t="str">
        <f t="shared" si="3"/>
        <v/>
      </c>
    </row>
    <row r="122" spans="2:5">
      <c r="B122" s="26" t="str">
        <f>'EDC&amp;EDP_Est'!$A112</f>
        <v/>
      </c>
      <c r="C122" s="50" t="str">
        <f>IF($B122="","",'EDC&amp;EDP_Est'!$G112)</f>
        <v/>
      </c>
      <c r="D122" s="54" t="str">
        <f t="shared" si="2"/>
        <v/>
      </c>
      <c r="E122" s="54" t="str">
        <f t="shared" si="3"/>
        <v/>
      </c>
    </row>
    <row r="123" spans="2:5">
      <c r="B123" s="26" t="str">
        <f>'EDC&amp;EDP_Est'!$A113</f>
        <v/>
      </c>
      <c r="C123" s="50" t="str">
        <f>IF($B123="","",'EDC&amp;EDP_Est'!$G113)</f>
        <v/>
      </c>
      <c r="D123" s="54" t="str">
        <f t="shared" si="2"/>
        <v/>
      </c>
      <c r="E123" s="54" t="str">
        <f t="shared" si="3"/>
        <v/>
      </c>
    </row>
    <row r="124" spans="2:5">
      <c r="B124" s="26" t="str">
        <f>'EDC&amp;EDP_Est'!$A114</f>
        <v/>
      </c>
      <c r="C124" s="50" t="str">
        <f>IF($B124="","",'EDC&amp;EDP_Est'!$G114)</f>
        <v/>
      </c>
      <c r="D124" s="54" t="str">
        <f t="shared" si="2"/>
        <v/>
      </c>
      <c r="E124" s="54" t="str">
        <f t="shared" si="3"/>
        <v/>
      </c>
    </row>
    <row r="125" spans="2:5">
      <c r="B125" s="26" t="str">
        <f>'EDC&amp;EDP_Est'!$A115</f>
        <v/>
      </c>
      <c r="C125" s="50" t="str">
        <f>IF($B125="","",'EDC&amp;EDP_Est'!$G115)</f>
        <v/>
      </c>
      <c r="D125" s="54" t="str">
        <f t="shared" si="2"/>
        <v/>
      </c>
      <c r="E125" s="54" t="str">
        <f t="shared" si="3"/>
        <v/>
      </c>
    </row>
    <row r="126" spans="2:5">
      <c r="B126" s="26" t="str">
        <f>'EDC&amp;EDP_Est'!$A116</f>
        <v/>
      </c>
      <c r="C126" s="50" t="str">
        <f>IF($B126="","",'EDC&amp;EDP_Est'!$G116)</f>
        <v/>
      </c>
      <c r="D126" s="54" t="str">
        <f t="shared" si="2"/>
        <v/>
      </c>
      <c r="E126" s="54" t="str">
        <f t="shared" si="3"/>
        <v/>
      </c>
    </row>
    <row r="127" spans="2:5">
      <c r="B127" s="26" t="str">
        <f>'EDC&amp;EDP_Est'!$A117</f>
        <v/>
      </c>
      <c r="C127" s="50" t="str">
        <f>IF($B127="","",'EDC&amp;EDP_Est'!$G117)</f>
        <v/>
      </c>
      <c r="D127" s="54" t="str">
        <f t="shared" si="2"/>
        <v/>
      </c>
      <c r="E127" s="54" t="str">
        <f t="shared" si="3"/>
        <v/>
      </c>
    </row>
    <row r="128" spans="2:5">
      <c r="B128" s="26" t="str">
        <f>'EDC&amp;EDP_Est'!$A118</f>
        <v/>
      </c>
      <c r="C128" s="50" t="str">
        <f>IF($B128="","",'EDC&amp;EDP_Est'!$G118)</f>
        <v/>
      </c>
      <c r="D128" s="54" t="str">
        <f t="shared" si="2"/>
        <v/>
      </c>
      <c r="E128" s="54" t="str">
        <f t="shared" si="3"/>
        <v/>
      </c>
    </row>
    <row r="129" spans="2:5">
      <c r="B129" s="26" t="str">
        <f>'EDC&amp;EDP_Est'!$A119</f>
        <v/>
      </c>
      <c r="C129" s="50" t="str">
        <f>IF($B129="","",'EDC&amp;EDP_Est'!$G119)</f>
        <v/>
      </c>
      <c r="D129" s="54" t="str">
        <f t="shared" si="2"/>
        <v/>
      </c>
      <c r="E129" s="54" t="str">
        <f t="shared" si="3"/>
        <v/>
      </c>
    </row>
    <row r="130" spans="2:5">
      <c r="B130" s="26" t="str">
        <f>'EDC&amp;EDP_Est'!$A120</f>
        <v/>
      </c>
      <c r="C130" s="50" t="str">
        <f>IF($B130="","",'EDC&amp;EDP_Est'!$G120)</f>
        <v/>
      </c>
      <c r="D130" s="54" t="str">
        <f t="shared" si="2"/>
        <v/>
      </c>
      <c r="E130" s="54" t="str">
        <f t="shared" si="3"/>
        <v/>
      </c>
    </row>
    <row r="131" spans="2:5">
      <c r="B131" s="26" t="str">
        <f>'EDC&amp;EDP_Est'!$A121</f>
        <v/>
      </c>
      <c r="C131" s="50" t="str">
        <f>IF($B131="","",'EDC&amp;EDP_Est'!$G121)</f>
        <v/>
      </c>
      <c r="D131" s="54" t="str">
        <f t="shared" si="2"/>
        <v/>
      </c>
      <c r="E131" s="54" t="str">
        <f t="shared" si="3"/>
        <v/>
      </c>
    </row>
    <row r="132" spans="2:5">
      <c r="B132" s="26" t="str">
        <f>'EDC&amp;EDP_Est'!$A122</f>
        <v/>
      </c>
      <c r="C132" s="50" t="str">
        <f>IF($B132="","",'EDC&amp;EDP_Est'!$G122)</f>
        <v/>
      </c>
      <c r="D132" s="54" t="str">
        <f t="shared" si="2"/>
        <v/>
      </c>
      <c r="E132" s="54" t="str">
        <f t="shared" si="3"/>
        <v/>
      </c>
    </row>
    <row r="133" spans="2:5">
      <c r="B133" s="26" t="str">
        <f>'EDC&amp;EDP_Est'!$A123</f>
        <v/>
      </c>
      <c r="C133" s="50" t="str">
        <f>IF($B133="","",'EDC&amp;EDP_Est'!$G123)</f>
        <v/>
      </c>
      <c r="D133" s="54" t="str">
        <f t="shared" si="2"/>
        <v/>
      </c>
      <c r="E133" s="54" t="str">
        <f t="shared" si="3"/>
        <v/>
      </c>
    </row>
    <row r="134" spans="2:5">
      <c r="B134" s="26" t="str">
        <f>'EDC&amp;EDP_Est'!$A124</f>
        <v/>
      </c>
      <c r="C134" s="50" t="str">
        <f>IF($B134="","",'EDC&amp;EDP_Est'!$G124)</f>
        <v/>
      </c>
      <c r="D134" s="54" t="str">
        <f t="shared" si="2"/>
        <v/>
      </c>
      <c r="E134" s="54" t="str">
        <f t="shared" si="3"/>
        <v/>
      </c>
    </row>
    <row r="135" spans="2:5">
      <c r="B135" s="26" t="str">
        <f>'EDC&amp;EDP_Est'!$A125</f>
        <v/>
      </c>
      <c r="C135" s="50" t="str">
        <f>IF($B135="","",'EDC&amp;EDP_Est'!$G125)</f>
        <v/>
      </c>
      <c r="D135" s="54" t="str">
        <f t="shared" si="2"/>
        <v/>
      </c>
      <c r="E135" s="54" t="str">
        <f t="shared" si="3"/>
        <v/>
      </c>
    </row>
    <row r="136" spans="2:5">
      <c r="B136" s="26" t="str">
        <f>'EDC&amp;EDP_Est'!$A126</f>
        <v/>
      </c>
      <c r="C136" s="50" t="str">
        <f>IF($B136="","",'EDC&amp;EDP_Est'!$G126)</f>
        <v/>
      </c>
      <c r="D136" s="54" t="str">
        <f t="shared" si="2"/>
        <v/>
      </c>
      <c r="E136" s="54" t="str">
        <f t="shared" si="3"/>
        <v/>
      </c>
    </row>
    <row r="137" spans="2:5">
      <c r="B137" s="26" t="str">
        <f>'EDC&amp;EDP_Est'!$A127</f>
        <v/>
      </c>
      <c r="C137" s="50" t="str">
        <f>IF($B137="","",'EDC&amp;EDP_Est'!$G127)</f>
        <v/>
      </c>
      <c r="D137" s="54" t="str">
        <f t="shared" si="2"/>
        <v/>
      </c>
      <c r="E137" s="54" t="str">
        <f t="shared" si="3"/>
        <v/>
      </c>
    </row>
    <row r="138" spans="2:5">
      <c r="B138" s="26" t="str">
        <f>'EDC&amp;EDP_Est'!$A128</f>
        <v/>
      </c>
      <c r="C138" s="50" t="str">
        <f>IF($B138="","",'EDC&amp;EDP_Est'!$G128)</f>
        <v/>
      </c>
      <c r="D138" s="54" t="str">
        <f t="shared" si="2"/>
        <v/>
      </c>
      <c r="E138" s="54" t="str">
        <f t="shared" si="3"/>
        <v/>
      </c>
    </row>
    <row r="139" spans="2:5">
      <c r="B139" s="26" t="str">
        <f>'EDC&amp;EDP_Est'!$A129</f>
        <v/>
      </c>
      <c r="C139" s="50" t="str">
        <f>IF($B139="","",'EDC&amp;EDP_Est'!$G129)</f>
        <v/>
      </c>
      <c r="D139" s="54" t="str">
        <f t="shared" si="2"/>
        <v/>
      </c>
      <c r="E139" s="54" t="str">
        <f t="shared" si="3"/>
        <v/>
      </c>
    </row>
    <row r="140" spans="2:5">
      <c r="B140" s="26" t="str">
        <f>'EDC&amp;EDP_Est'!$A130</f>
        <v/>
      </c>
      <c r="C140" s="50" t="str">
        <f>IF($B140="","",'EDC&amp;EDP_Est'!$G130)</f>
        <v/>
      </c>
      <c r="D140" s="54" t="str">
        <f t="shared" si="2"/>
        <v/>
      </c>
      <c r="E140" s="54" t="str">
        <f t="shared" si="3"/>
        <v/>
      </c>
    </row>
    <row r="141" spans="2:5">
      <c r="B141" s="26" t="str">
        <f>'EDC&amp;EDP_Est'!$A131</f>
        <v/>
      </c>
      <c r="C141" s="50" t="str">
        <f>IF($B141="","",'EDC&amp;EDP_Est'!$G131)</f>
        <v/>
      </c>
      <c r="D141" s="54" t="str">
        <f t="shared" si="2"/>
        <v/>
      </c>
      <c r="E141" s="54" t="str">
        <f t="shared" si="3"/>
        <v/>
      </c>
    </row>
    <row r="142" spans="2:5">
      <c r="B142" s="26" t="str">
        <f>'EDC&amp;EDP_Est'!$A132</f>
        <v/>
      </c>
      <c r="C142" s="50" t="str">
        <f>IF($B142="","",'EDC&amp;EDP_Est'!$G132)</f>
        <v/>
      </c>
      <c r="D142" s="54" t="str">
        <f t="shared" si="2"/>
        <v/>
      </c>
      <c r="E142" s="54" t="str">
        <f t="shared" si="3"/>
        <v/>
      </c>
    </row>
    <row r="143" spans="2:5">
      <c r="B143" s="26" t="str">
        <f>'EDC&amp;EDP_Est'!$A133</f>
        <v/>
      </c>
      <c r="C143" s="50" t="str">
        <f>IF($B143="","",'EDC&amp;EDP_Est'!$G133)</f>
        <v/>
      </c>
      <c r="D143" s="54" t="str">
        <f t="shared" ref="D143:D206" si="4">IF(AND(ISNUMBER(C143),ISNUMBER($C$6)),C143/$C$6,"")</f>
        <v/>
      </c>
      <c r="E143" s="54" t="str">
        <f t="shared" ref="E143:E206" si="5">IF(AND(ISNUMBER(C143),ISNUMBER($C$9)),C143/$C$9*$C$10,"")</f>
        <v/>
      </c>
    </row>
    <row r="144" spans="2:5">
      <c r="B144" s="26" t="str">
        <f>'EDC&amp;EDP_Est'!$A134</f>
        <v/>
      </c>
      <c r="C144" s="50" t="str">
        <f>IF($B144="","",'EDC&amp;EDP_Est'!$G134)</f>
        <v/>
      </c>
      <c r="D144" s="54" t="str">
        <f t="shared" si="4"/>
        <v/>
      </c>
      <c r="E144" s="54" t="str">
        <f t="shared" si="5"/>
        <v/>
      </c>
    </row>
    <row r="145" spans="2:5">
      <c r="B145" s="26" t="str">
        <f>'EDC&amp;EDP_Est'!$A135</f>
        <v/>
      </c>
      <c r="C145" s="50" t="str">
        <f>IF($B145="","",'EDC&amp;EDP_Est'!$G135)</f>
        <v/>
      </c>
      <c r="D145" s="54" t="str">
        <f t="shared" si="4"/>
        <v/>
      </c>
      <c r="E145" s="54" t="str">
        <f t="shared" si="5"/>
        <v/>
      </c>
    </row>
    <row r="146" spans="2:5">
      <c r="B146" s="26" t="str">
        <f>'EDC&amp;EDP_Est'!$A136</f>
        <v/>
      </c>
      <c r="C146" s="50" t="str">
        <f>IF($B146="","",'EDC&amp;EDP_Est'!$G136)</f>
        <v/>
      </c>
      <c r="D146" s="54" t="str">
        <f t="shared" si="4"/>
        <v/>
      </c>
      <c r="E146" s="54" t="str">
        <f t="shared" si="5"/>
        <v/>
      </c>
    </row>
    <row r="147" spans="2:5">
      <c r="B147" s="26" t="str">
        <f>'EDC&amp;EDP_Est'!$A137</f>
        <v/>
      </c>
      <c r="C147" s="50" t="str">
        <f>IF($B147="","",'EDC&amp;EDP_Est'!$G137)</f>
        <v/>
      </c>
      <c r="D147" s="54" t="str">
        <f t="shared" si="4"/>
        <v/>
      </c>
      <c r="E147" s="54" t="str">
        <f t="shared" si="5"/>
        <v/>
      </c>
    </row>
    <row r="148" spans="2:5">
      <c r="B148" s="26" t="str">
        <f>'EDC&amp;EDP_Est'!$A138</f>
        <v/>
      </c>
      <c r="C148" s="50" t="str">
        <f>IF($B148="","",'EDC&amp;EDP_Est'!$G138)</f>
        <v/>
      </c>
      <c r="D148" s="54" t="str">
        <f t="shared" si="4"/>
        <v/>
      </c>
      <c r="E148" s="54" t="str">
        <f t="shared" si="5"/>
        <v/>
      </c>
    </row>
    <row r="149" spans="2:5">
      <c r="B149" s="26" t="str">
        <f>'EDC&amp;EDP_Est'!$A139</f>
        <v/>
      </c>
      <c r="C149" s="50" t="str">
        <f>IF($B149="","",'EDC&amp;EDP_Est'!$G139)</f>
        <v/>
      </c>
      <c r="D149" s="54" t="str">
        <f t="shared" si="4"/>
        <v/>
      </c>
      <c r="E149" s="54" t="str">
        <f t="shared" si="5"/>
        <v/>
      </c>
    </row>
    <row r="150" spans="2:5">
      <c r="B150" s="26" t="str">
        <f>'EDC&amp;EDP_Est'!$A140</f>
        <v/>
      </c>
      <c r="C150" s="50" t="str">
        <f>IF($B150="","",'EDC&amp;EDP_Est'!$G140)</f>
        <v/>
      </c>
      <c r="D150" s="54" t="str">
        <f t="shared" si="4"/>
        <v/>
      </c>
      <c r="E150" s="54" t="str">
        <f t="shared" si="5"/>
        <v/>
      </c>
    </row>
    <row r="151" spans="2:5">
      <c r="B151" s="26" t="str">
        <f>'EDC&amp;EDP_Est'!$A141</f>
        <v/>
      </c>
      <c r="C151" s="50" t="str">
        <f>IF($B151="","",'EDC&amp;EDP_Est'!$G141)</f>
        <v/>
      </c>
      <c r="D151" s="54" t="str">
        <f t="shared" si="4"/>
        <v/>
      </c>
      <c r="E151" s="54" t="str">
        <f t="shared" si="5"/>
        <v/>
      </c>
    </row>
    <row r="152" spans="2:5">
      <c r="B152" s="26" t="str">
        <f>'EDC&amp;EDP_Est'!$A142</f>
        <v/>
      </c>
      <c r="C152" s="50" t="str">
        <f>IF($B152="","",'EDC&amp;EDP_Est'!$G142)</f>
        <v/>
      </c>
      <c r="D152" s="54" t="str">
        <f t="shared" si="4"/>
        <v/>
      </c>
      <c r="E152" s="54" t="str">
        <f t="shared" si="5"/>
        <v/>
      </c>
    </row>
    <row r="153" spans="2:5">
      <c r="B153" s="26" t="str">
        <f>'EDC&amp;EDP_Est'!$A143</f>
        <v/>
      </c>
      <c r="C153" s="50" t="str">
        <f>IF($B153="","",'EDC&amp;EDP_Est'!$G143)</f>
        <v/>
      </c>
      <c r="D153" s="54" t="str">
        <f t="shared" si="4"/>
        <v/>
      </c>
      <c r="E153" s="54" t="str">
        <f t="shared" si="5"/>
        <v/>
      </c>
    </row>
    <row r="154" spans="2:5">
      <c r="B154" s="26" t="str">
        <f>'EDC&amp;EDP_Est'!$A144</f>
        <v/>
      </c>
      <c r="C154" s="50" t="str">
        <f>IF($B154="","",'EDC&amp;EDP_Est'!$G144)</f>
        <v/>
      </c>
      <c r="D154" s="54" t="str">
        <f t="shared" si="4"/>
        <v/>
      </c>
      <c r="E154" s="54" t="str">
        <f t="shared" si="5"/>
        <v/>
      </c>
    </row>
    <row r="155" spans="2:5">
      <c r="B155" s="26" t="str">
        <f>'EDC&amp;EDP_Est'!$A145</f>
        <v/>
      </c>
      <c r="C155" s="50" t="str">
        <f>IF($B155="","",'EDC&amp;EDP_Est'!$G145)</f>
        <v/>
      </c>
      <c r="D155" s="54" t="str">
        <f t="shared" si="4"/>
        <v/>
      </c>
      <c r="E155" s="54" t="str">
        <f t="shared" si="5"/>
        <v/>
      </c>
    </row>
    <row r="156" spans="2:5">
      <c r="B156" s="26" t="str">
        <f>'EDC&amp;EDP_Est'!$A146</f>
        <v/>
      </c>
      <c r="C156" s="50" t="str">
        <f>IF($B156="","",'EDC&amp;EDP_Est'!$G146)</f>
        <v/>
      </c>
      <c r="D156" s="54" t="str">
        <f t="shared" si="4"/>
        <v/>
      </c>
      <c r="E156" s="54" t="str">
        <f t="shared" si="5"/>
        <v/>
      </c>
    </row>
    <row r="157" spans="2:5">
      <c r="B157" s="26" t="str">
        <f>'EDC&amp;EDP_Est'!$A147</f>
        <v/>
      </c>
      <c r="C157" s="50" t="str">
        <f>IF($B157="","",'EDC&amp;EDP_Est'!$G147)</f>
        <v/>
      </c>
      <c r="D157" s="54" t="str">
        <f t="shared" si="4"/>
        <v/>
      </c>
      <c r="E157" s="54" t="str">
        <f t="shared" si="5"/>
        <v/>
      </c>
    </row>
    <row r="158" spans="2:5">
      <c r="B158" s="26" t="str">
        <f>'EDC&amp;EDP_Est'!$A148</f>
        <v/>
      </c>
      <c r="C158" s="50" t="str">
        <f>IF($B158="","",'EDC&amp;EDP_Est'!$G148)</f>
        <v/>
      </c>
      <c r="D158" s="54" t="str">
        <f t="shared" si="4"/>
        <v/>
      </c>
      <c r="E158" s="54" t="str">
        <f t="shared" si="5"/>
        <v/>
      </c>
    </row>
    <row r="159" spans="2:5">
      <c r="B159" s="26" t="str">
        <f>'EDC&amp;EDP_Est'!$A149</f>
        <v/>
      </c>
      <c r="C159" s="50" t="str">
        <f>IF($B159="","",'EDC&amp;EDP_Est'!$G149)</f>
        <v/>
      </c>
      <c r="D159" s="54" t="str">
        <f t="shared" si="4"/>
        <v/>
      </c>
      <c r="E159" s="54" t="str">
        <f t="shared" si="5"/>
        <v/>
      </c>
    </row>
    <row r="160" spans="2:5">
      <c r="B160" s="26" t="str">
        <f>'EDC&amp;EDP_Est'!$A150</f>
        <v/>
      </c>
      <c r="C160" s="50" t="str">
        <f>IF($B160="","",'EDC&amp;EDP_Est'!$G150)</f>
        <v/>
      </c>
      <c r="D160" s="54" t="str">
        <f t="shared" si="4"/>
        <v/>
      </c>
      <c r="E160" s="54" t="str">
        <f t="shared" si="5"/>
        <v/>
      </c>
    </row>
    <row r="161" spans="2:5">
      <c r="B161" s="26" t="str">
        <f>'EDC&amp;EDP_Est'!$A151</f>
        <v/>
      </c>
      <c r="C161" s="50" t="str">
        <f>IF($B161="","",'EDC&amp;EDP_Est'!$G151)</f>
        <v/>
      </c>
      <c r="D161" s="54" t="str">
        <f t="shared" si="4"/>
        <v/>
      </c>
      <c r="E161" s="54" t="str">
        <f t="shared" si="5"/>
        <v/>
      </c>
    </row>
    <row r="162" spans="2:5">
      <c r="B162" s="26" t="str">
        <f>'EDC&amp;EDP_Est'!$A152</f>
        <v/>
      </c>
      <c r="C162" s="50" t="str">
        <f>IF($B162="","",'EDC&amp;EDP_Est'!$G152)</f>
        <v/>
      </c>
      <c r="D162" s="54" t="str">
        <f t="shared" si="4"/>
        <v/>
      </c>
      <c r="E162" s="54" t="str">
        <f t="shared" si="5"/>
        <v/>
      </c>
    </row>
    <row r="163" spans="2:5">
      <c r="B163" s="26" t="str">
        <f>'EDC&amp;EDP_Est'!$A153</f>
        <v/>
      </c>
      <c r="C163" s="50" t="str">
        <f>IF($B163="","",'EDC&amp;EDP_Est'!$G153)</f>
        <v/>
      </c>
      <c r="D163" s="54" t="str">
        <f t="shared" si="4"/>
        <v/>
      </c>
      <c r="E163" s="54" t="str">
        <f t="shared" si="5"/>
        <v/>
      </c>
    </row>
    <row r="164" spans="2:5">
      <c r="B164" s="26" t="str">
        <f>'EDC&amp;EDP_Est'!$A154</f>
        <v/>
      </c>
      <c r="C164" s="50" t="str">
        <f>IF($B164="","",'EDC&amp;EDP_Est'!$G154)</f>
        <v/>
      </c>
      <c r="D164" s="54" t="str">
        <f t="shared" si="4"/>
        <v/>
      </c>
      <c r="E164" s="54" t="str">
        <f t="shared" si="5"/>
        <v/>
      </c>
    </row>
    <row r="165" spans="2:5">
      <c r="B165" s="26" t="str">
        <f>'EDC&amp;EDP_Est'!$A155</f>
        <v/>
      </c>
      <c r="C165" s="50" t="str">
        <f>IF($B165="","",'EDC&amp;EDP_Est'!$G155)</f>
        <v/>
      </c>
      <c r="D165" s="54" t="str">
        <f t="shared" si="4"/>
        <v/>
      </c>
      <c r="E165" s="54" t="str">
        <f t="shared" si="5"/>
        <v/>
      </c>
    </row>
    <row r="166" spans="2:5">
      <c r="B166" s="26" t="str">
        <f>'EDC&amp;EDP_Est'!$A156</f>
        <v/>
      </c>
      <c r="C166" s="50" t="str">
        <f>IF($B166="","",'EDC&amp;EDP_Est'!$G156)</f>
        <v/>
      </c>
      <c r="D166" s="54" t="str">
        <f t="shared" si="4"/>
        <v/>
      </c>
      <c r="E166" s="54" t="str">
        <f t="shared" si="5"/>
        <v/>
      </c>
    </row>
    <row r="167" spans="2:5">
      <c r="B167" s="26" t="str">
        <f>'EDC&amp;EDP_Est'!$A157</f>
        <v/>
      </c>
      <c r="C167" s="50" t="str">
        <f>IF($B167="","",'EDC&amp;EDP_Est'!$G157)</f>
        <v/>
      </c>
      <c r="D167" s="54" t="str">
        <f t="shared" si="4"/>
        <v/>
      </c>
      <c r="E167" s="54" t="str">
        <f t="shared" si="5"/>
        <v/>
      </c>
    </row>
    <row r="168" spans="2:5">
      <c r="B168" s="26" t="str">
        <f>'EDC&amp;EDP_Est'!$A158</f>
        <v/>
      </c>
      <c r="C168" s="50" t="str">
        <f>IF($B168="","",'EDC&amp;EDP_Est'!$G158)</f>
        <v/>
      </c>
      <c r="D168" s="54" t="str">
        <f t="shared" si="4"/>
        <v/>
      </c>
      <c r="E168" s="54" t="str">
        <f t="shared" si="5"/>
        <v/>
      </c>
    </row>
    <row r="169" spans="2:5">
      <c r="B169" s="26" t="str">
        <f>'EDC&amp;EDP_Est'!$A159</f>
        <v/>
      </c>
      <c r="C169" s="50" t="str">
        <f>IF($B169="","",'EDC&amp;EDP_Est'!$G159)</f>
        <v/>
      </c>
      <c r="D169" s="54" t="str">
        <f t="shared" si="4"/>
        <v/>
      </c>
      <c r="E169" s="54" t="str">
        <f t="shared" si="5"/>
        <v/>
      </c>
    </row>
    <row r="170" spans="2:5">
      <c r="B170" s="26" t="str">
        <f>'EDC&amp;EDP_Est'!$A160</f>
        <v/>
      </c>
      <c r="C170" s="50" t="str">
        <f>IF($B170="","",'EDC&amp;EDP_Est'!$G160)</f>
        <v/>
      </c>
      <c r="D170" s="54" t="str">
        <f t="shared" si="4"/>
        <v/>
      </c>
      <c r="E170" s="54" t="str">
        <f t="shared" si="5"/>
        <v/>
      </c>
    </row>
    <row r="171" spans="2:5">
      <c r="B171" s="26" t="str">
        <f>'EDC&amp;EDP_Est'!$A161</f>
        <v/>
      </c>
      <c r="C171" s="50" t="str">
        <f>IF($B171="","",'EDC&amp;EDP_Est'!$G161)</f>
        <v/>
      </c>
      <c r="D171" s="54" t="str">
        <f t="shared" si="4"/>
        <v/>
      </c>
      <c r="E171" s="54" t="str">
        <f t="shared" si="5"/>
        <v/>
      </c>
    </row>
    <row r="172" spans="2:5">
      <c r="B172" s="26" t="str">
        <f>'EDC&amp;EDP_Est'!$A162</f>
        <v/>
      </c>
      <c r="C172" s="50" t="str">
        <f>IF($B172="","",'EDC&amp;EDP_Est'!$G162)</f>
        <v/>
      </c>
      <c r="D172" s="54" t="str">
        <f t="shared" si="4"/>
        <v/>
      </c>
      <c r="E172" s="54" t="str">
        <f t="shared" si="5"/>
        <v/>
      </c>
    </row>
    <row r="173" spans="2:5">
      <c r="B173" s="26" t="str">
        <f>'EDC&amp;EDP_Est'!$A163</f>
        <v/>
      </c>
      <c r="C173" s="50" t="str">
        <f>IF($B173="","",'EDC&amp;EDP_Est'!$G163)</f>
        <v/>
      </c>
      <c r="D173" s="54" t="str">
        <f t="shared" si="4"/>
        <v/>
      </c>
      <c r="E173" s="54" t="str">
        <f t="shared" si="5"/>
        <v/>
      </c>
    </row>
    <row r="174" spans="2:5">
      <c r="B174" s="26" t="str">
        <f>'EDC&amp;EDP_Est'!$A164</f>
        <v/>
      </c>
      <c r="C174" s="50" t="str">
        <f>IF($B174="","",'EDC&amp;EDP_Est'!$G164)</f>
        <v/>
      </c>
      <c r="D174" s="54" t="str">
        <f t="shared" si="4"/>
        <v/>
      </c>
      <c r="E174" s="54" t="str">
        <f t="shared" si="5"/>
        <v/>
      </c>
    </row>
    <row r="175" spans="2:5">
      <c r="B175" s="26" t="str">
        <f>'EDC&amp;EDP_Est'!$A165</f>
        <v/>
      </c>
      <c r="C175" s="50" t="str">
        <f>IF($B175="","",'EDC&amp;EDP_Est'!$G165)</f>
        <v/>
      </c>
      <c r="D175" s="54" t="str">
        <f t="shared" si="4"/>
        <v/>
      </c>
      <c r="E175" s="54" t="str">
        <f t="shared" si="5"/>
        <v/>
      </c>
    </row>
    <row r="176" spans="2:5">
      <c r="B176" s="26" t="str">
        <f>'EDC&amp;EDP_Est'!$A166</f>
        <v/>
      </c>
      <c r="C176" s="50" t="str">
        <f>IF($B176="","",'EDC&amp;EDP_Est'!$G166)</f>
        <v/>
      </c>
      <c r="D176" s="54" t="str">
        <f t="shared" si="4"/>
        <v/>
      </c>
      <c r="E176" s="54" t="str">
        <f t="shared" si="5"/>
        <v/>
      </c>
    </row>
    <row r="177" spans="2:5">
      <c r="B177" s="26" t="str">
        <f>'EDC&amp;EDP_Est'!$A167</f>
        <v/>
      </c>
      <c r="C177" s="50" t="str">
        <f>IF($B177="","",'EDC&amp;EDP_Est'!$G167)</f>
        <v/>
      </c>
      <c r="D177" s="54" t="str">
        <f t="shared" si="4"/>
        <v/>
      </c>
      <c r="E177" s="54" t="str">
        <f t="shared" si="5"/>
        <v/>
      </c>
    </row>
    <row r="178" spans="2:5">
      <c r="B178" s="26" t="str">
        <f>'EDC&amp;EDP_Est'!$A168</f>
        <v/>
      </c>
      <c r="C178" s="50" t="str">
        <f>IF($B178="","",'EDC&amp;EDP_Est'!$G168)</f>
        <v/>
      </c>
      <c r="D178" s="54" t="str">
        <f t="shared" si="4"/>
        <v/>
      </c>
      <c r="E178" s="54" t="str">
        <f t="shared" si="5"/>
        <v/>
      </c>
    </row>
    <row r="179" spans="2:5">
      <c r="B179" s="26" t="str">
        <f>'EDC&amp;EDP_Est'!$A169</f>
        <v/>
      </c>
      <c r="C179" s="50" t="str">
        <f>IF($B179="","",'EDC&amp;EDP_Est'!$G169)</f>
        <v/>
      </c>
      <c r="D179" s="54" t="str">
        <f t="shared" si="4"/>
        <v/>
      </c>
      <c r="E179" s="54" t="str">
        <f t="shared" si="5"/>
        <v/>
      </c>
    </row>
    <row r="180" spans="2:5">
      <c r="B180" s="26" t="str">
        <f>'EDC&amp;EDP_Est'!$A170</f>
        <v/>
      </c>
      <c r="C180" s="50" t="str">
        <f>IF($B180="","",'EDC&amp;EDP_Est'!$G170)</f>
        <v/>
      </c>
      <c r="D180" s="54" t="str">
        <f t="shared" si="4"/>
        <v/>
      </c>
      <c r="E180" s="54" t="str">
        <f t="shared" si="5"/>
        <v/>
      </c>
    </row>
    <row r="181" spans="2:5">
      <c r="B181" s="26" t="str">
        <f>'EDC&amp;EDP_Est'!$A171</f>
        <v/>
      </c>
      <c r="C181" s="50" t="str">
        <f>IF($B181="","",'EDC&amp;EDP_Est'!$G171)</f>
        <v/>
      </c>
      <c r="D181" s="54" t="str">
        <f t="shared" si="4"/>
        <v/>
      </c>
      <c r="E181" s="54" t="str">
        <f t="shared" si="5"/>
        <v/>
      </c>
    </row>
    <row r="182" spans="2:5">
      <c r="B182" s="26" t="str">
        <f>'EDC&amp;EDP_Est'!$A172</f>
        <v/>
      </c>
      <c r="C182" s="50" t="str">
        <f>IF($B182="","",'EDC&amp;EDP_Est'!$G172)</f>
        <v/>
      </c>
      <c r="D182" s="54" t="str">
        <f t="shared" si="4"/>
        <v/>
      </c>
      <c r="E182" s="54" t="str">
        <f t="shared" si="5"/>
        <v/>
      </c>
    </row>
    <row r="183" spans="2:5">
      <c r="B183" s="26" t="str">
        <f>'EDC&amp;EDP_Est'!$A173</f>
        <v/>
      </c>
      <c r="C183" s="50" t="str">
        <f>IF($B183="","",'EDC&amp;EDP_Est'!$G173)</f>
        <v/>
      </c>
      <c r="D183" s="54" t="str">
        <f t="shared" si="4"/>
        <v/>
      </c>
      <c r="E183" s="54" t="str">
        <f t="shared" si="5"/>
        <v/>
      </c>
    </row>
    <row r="184" spans="2:5">
      <c r="B184" s="26" t="str">
        <f>'EDC&amp;EDP_Est'!$A174</f>
        <v/>
      </c>
      <c r="C184" s="50" t="str">
        <f>IF($B184="","",'EDC&amp;EDP_Est'!$G174)</f>
        <v/>
      </c>
      <c r="D184" s="54" t="str">
        <f t="shared" si="4"/>
        <v/>
      </c>
      <c r="E184" s="54" t="str">
        <f t="shared" si="5"/>
        <v/>
      </c>
    </row>
    <row r="185" spans="2:5">
      <c r="B185" s="26" t="str">
        <f>'EDC&amp;EDP_Est'!$A175</f>
        <v/>
      </c>
      <c r="C185" s="50" t="str">
        <f>IF($B185="","",'EDC&amp;EDP_Est'!$G175)</f>
        <v/>
      </c>
      <c r="D185" s="54" t="str">
        <f t="shared" si="4"/>
        <v/>
      </c>
      <c r="E185" s="54" t="str">
        <f t="shared" si="5"/>
        <v/>
      </c>
    </row>
    <row r="186" spans="2:5">
      <c r="B186" s="26" t="str">
        <f>'EDC&amp;EDP_Est'!$A176</f>
        <v/>
      </c>
      <c r="C186" s="50" t="str">
        <f>IF($B186="","",'EDC&amp;EDP_Est'!$G176)</f>
        <v/>
      </c>
      <c r="D186" s="54" t="str">
        <f t="shared" si="4"/>
        <v/>
      </c>
      <c r="E186" s="54" t="str">
        <f t="shared" si="5"/>
        <v/>
      </c>
    </row>
    <row r="187" spans="2:5">
      <c r="B187" s="26" t="str">
        <f>'EDC&amp;EDP_Est'!$A177</f>
        <v/>
      </c>
      <c r="C187" s="50" t="str">
        <f>IF($B187="","",'EDC&amp;EDP_Est'!$G177)</f>
        <v/>
      </c>
      <c r="D187" s="54" t="str">
        <f t="shared" si="4"/>
        <v/>
      </c>
      <c r="E187" s="54" t="str">
        <f t="shared" si="5"/>
        <v/>
      </c>
    </row>
    <row r="188" spans="2:5">
      <c r="B188" s="26" t="str">
        <f>'EDC&amp;EDP_Est'!$A178</f>
        <v/>
      </c>
      <c r="C188" s="50" t="str">
        <f>IF($B188="","",'EDC&amp;EDP_Est'!$G178)</f>
        <v/>
      </c>
      <c r="D188" s="54" t="str">
        <f t="shared" si="4"/>
        <v/>
      </c>
      <c r="E188" s="54" t="str">
        <f t="shared" si="5"/>
        <v/>
      </c>
    </row>
    <row r="189" spans="2:5">
      <c r="B189" s="26" t="str">
        <f>'EDC&amp;EDP_Est'!$A179</f>
        <v/>
      </c>
      <c r="C189" s="50" t="str">
        <f>IF($B189="","",'EDC&amp;EDP_Est'!$G179)</f>
        <v/>
      </c>
      <c r="D189" s="54" t="str">
        <f t="shared" si="4"/>
        <v/>
      </c>
      <c r="E189" s="54" t="str">
        <f t="shared" si="5"/>
        <v/>
      </c>
    </row>
    <row r="190" spans="2:5">
      <c r="B190" s="26" t="str">
        <f>'EDC&amp;EDP_Est'!$A180</f>
        <v/>
      </c>
      <c r="C190" s="50" t="str">
        <f>IF($B190="","",'EDC&amp;EDP_Est'!$G180)</f>
        <v/>
      </c>
      <c r="D190" s="54" t="str">
        <f t="shared" si="4"/>
        <v/>
      </c>
      <c r="E190" s="54" t="str">
        <f t="shared" si="5"/>
        <v/>
      </c>
    </row>
    <row r="191" spans="2:5">
      <c r="B191" s="26" t="str">
        <f>'EDC&amp;EDP_Est'!$A181</f>
        <v/>
      </c>
      <c r="C191" s="50" t="str">
        <f>IF($B191="","",'EDC&amp;EDP_Est'!$G181)</f>
        <v/>
      </c>
      <c r="D191" s="54" t="str">
        <f t="shared" si="4"/>
        <v/>
      </c>
      <c r="E191" s="54" t="str">
        <f t="shared" si="5"/>
        <v/>
      </c>
    </row>
    <row r="192" spans="2:5">
      <c r="B192" s="26" t="str">
        <f>'EDC&amp;EDP_Est'!$A182</f>
        <v/>
      </c>
      <c r="C192" s="50" t="str">
        <f>IF($B192="","",'EDC&amp;EDP_Est'!$G182)</f>
        <v/>
      </c>
      <c r="D192" s="54" t="str">
        <f t="shared" si="4"/>
        <v/>
      </c>
      <c r="E192" s="54" t="str">
        <f t="shared" si="5"/>
        <v/>
      </c>
    </row>
    <row r="193" spans="2:5">
      <c r="B193" s="26" t="str">
        <f>'EDC&amp;EDP_Est'!$A183</f>
        <v/>
      </c>
      <c r="C193" s="50" t="str">
        <f>IF($B193="","",'EDC&amp;EDP_Est'!$G183)</f>
        <v/>
      </c>
      <c r="D193" s="54" t="str">
        <f t="shared" si="4"/>
        <v/>
      </c>
      <c r="E193" s="54" t="str">
        <f t="shared" si="5"/>
        <v/>
      </c>
    </row>
    <row r="194" spans="2:5">
      <c r="B194" s="26" t="str">
        <f>'EDC&amp;EDP_Est'!$A184</f>
        <v/>
      </c>
      <c r="C194" s="50" t="str">
        <f>IF($B194="","",'EDC&amp;EDP_Est'!$G184)</f>
        <v/>
      </c>
      <c r="D194" s="54" t="str">
        <f t="shared" si="4"/>
        <v/>
      </c>
      <c r="E194" s="54" t="str">
        <f t="shared" si="5"/>
        <v/>
      </c>
    </row>
    <row r="195" spans="2:5">
      <c r="B195" s="26" t="str">
        <f>'EDC&amp;EDP_Est'!$A185</f>
        <v/>
      </c>
      <c r="C195" s="50" t="str">
        <f>IF($B195="","",'EDC&amp;EDP_Est'!$G185)</f>
        <v/>
      </c>
      <c r="D195" s="54" t="str">
        <f t="shared" si="4"/>
        <v/>
      </c>
      <c r="E195" s="54" t="str">
        <f t="shared" si="5"/>
        <v/>
      </c>
    </row>
    <row r="196" spans="2:5">
      <c r="B196" s="26" t="str">
        <f>'EDC&amp;EDP_Est'!$A186</f>
        <v/>
      </c>
      <c r="C196" s="50" t="str">
        <f>IF($B196="","",'EDC&amp;EDP_Est'!$G186)</f>
        <v/>
      </c>
      <c r="D196" s="54" t="str">
        <f t="shared" si="4"/>
        <v/>
      </c>
      <c r="E196" s="54" t="str">
        <f t="shared" si="5"/>
        <v/>
      </c>
    </row>
    <row r="197" spans="2:5">
      <c r="B197" s="26" t="str">
        <f>'EDC&amp;EDP_Est'!$A187</f>
        <v/>
      </c>
      <c r="C197" s="50" t="str">
        <f>IF($B197="","",'EDC&amp;EDP_Est'!$G187)</f>
        <v/>
      </c>
      <c r="D197" s="54" t="str">
        <f t="shared" si="4"/>
        <v/>
      </c>
      <c r="E197" s="54" t="str">
        <f t="shared" si="5"/>
        <v/>
      </c>
    </row>
    <row r="198" spans="2:5">
      <c r="B198" s="26" t="str">
        <f>'EDC&amp;EDP_Est'!$A188</f>
        <v/>
      </c>
      <c r="C198" s="50" t="str">
        <f>IF($B198="","",'EDC&amp;EDP_Est'!$G188)</f>
        <v/>
      </c>
      <c r="D198" s="54" t="str">
        <f t="shared" si="4"/>
        <v/>
      </c>
      <c r="E198" s="54" t="str">
        <f t="shared" si="5"/>
        <v/>
      </c>
    </row>
    <row r="199" spans="2:5">
      <c r="B199" s="26" t="str">
        <f>'EDC&amp;EDP_Est'!$A189</f>
        <v/>
      </c>
      <c r="C199" s="50" t="str">
        <f>IF($B199="","",'EDC&amp;EDP_Est'!$G189)</f>
        <v/>
      </c>
      <c r="D199" s="54" t="str">
        <f t="shared" si="4"/>
        <v/>
      </c>
      <c r="E199" s="54" t="str">
        <f t="shared" si="5"/>
        <v/>
      </c>
    </row>
    <row r="200" spans="2:5">
      <c r="B200" s="26" t="str">
        <f>'EDC&amp;EDP_Est'!$A190</f>
        <v/>
      </c>
      <c r="C200" s="50" t="str">
        <f>IF($B200="","",'EDC&amp;EDP_Est'!$G190)</f>
        <v/>
      </c>
      <c r="D200" s="54" t="str">
        <f t="shared" si="4"/>
        <v/>
      </c>
      <c r="E200" s="54" t="str">
        <f t="shared" si="5"/>
        <v/>
      </c>
    </row>
    <row r="201" spans="2:5">
      <c r="B201" s="26" t="str">
        <f>'EDC&amp;EDP_Est'!$A191</f>
        <v/>
      </c>
      <c r="C201" s="50" t="str">
        <f>IF($B201="","",'EDC&amp;EDP_Est'!$G191)</f>
        <v/>
      </c>
      <c r="D201" s="54" t="str">
        <f t="shared" si="4"/>
        <v/>
      </c>
      <c r="E201" s="54" t="str">
        <f t="shared" si="5"/>
        <v/>
      </c>
    </row>
    <row r="202" spans="2:5">
      <c r="B202" s="26" t="str">
        <f>'EDC&amp;EDP_Est'!$A192</f>
        <v/>
      </c>
      <c r="C202" s="50" t="str">
        <f>IF($B202="","",'EDC&amp;EDP_Est'!$G192)</f>
        <v/>
      </c>
      <c r="D202" s="54" t="str">
        <f t="shared" si="4"/>
        <v/>
      </c>
      <c r="E202" s="54" t="str">
        <f t="shared" si="5"/>
        <v/>
      </c>
    </row>
    <row r="203" spans="2:5">
      <c r="B203" s="26" t="str">
        <f>'EDC&amp;EDP_Est'!$A193</f>
        <v/>
      </c>
      <c r="C203" s="50" t="str">
        <f>IF($B203="","",'EDC&amp;EDP_Est'!$G193)</f>
        <v/>
      </c>
      <c r="D203" s="54" t="str">
        <f t="shared" si="4"/>
        <v/>
      </c>
      <c r="E203" s="54" t="str">
        <f t="shared" si="5"/>
        <v/>
      </c>
    </row>
    <row r="204" spans="2:5">
      <c r="B204" s="26" t="str">
        <f>'EDC&amp;EDP_Est'!$A194</f>
        <v/>
      </c>
      <c r="C204" s="50" t="str">
        <f>IF($B204="","",'EDC&amp;EDP_Est'!$G194)</f>
        <v/>
      </c>
      <c r="D204" s="54" t="str">
        <f t="shared" si="4"/>
        <v/>
      </c>
      <c r="E204" s="54" t="str">
        <f t="shared" si="5"/>
        <v/>
      </c>
    </row>
    <row r="205" spans="2:5">
      <c r="B205" s="26" t="str">
        <f>'EDC&amp;EDP_Est'!$A195</f>
        <v/>
      </c>
      <c r="C205" s="50" t="str">
        <f>IF($B205="","",'EDC&amp;EDP_Est'!$G195)</f>
        <v/>
      </c>
      <c r="D205" s="54" t="str">
        <f t="shared" si="4"/>
        <v/>
      </c>
      <c r="E205" s="54" t="str">
        <f t="shared" si="5"/>
        <v/>
      </c>
    </row>
    <row r="206" spans="2:5">
      <c r="B206" s="26" t="str">
        <f>'EDC&amp;EDP_Est'!$A196</f>
        <v/>
      </c>
      <c r="C206" s="50" t="str">
        <f>IF($B206="","",'EDC&amp;EDP_Est'!$G196)</f>
        <v/>
      </c>
      <c r="D206" s="54" t="str">
        <f t="shared" si="4"/>
        <v/>
      </c>
      <c r="E206" s="54" t="str">
        <f t="shared" si="5"/>
        <v/>
      </c>
    </row>
    <row r="207" spans="2:5">
      <c r="B207" s="26" t="str">
        <f>'EDC&amp;EDP_Est'!$A197</f>
        <v/>
      </c>
      <c r="C207" s="50" t="str">
        <f>IF($B207="","",'EDC&amp;EDP_Est'!$G197)</f>
        <v/>
      </c>
      <c r="D207" s="54" t="str">
        <f t="shared" ref="D207:D216" si="6">IF(AND(ISNUMBER(C207),ISNUMBER($C$6)),C207/$C$6,"")</f>
        <v/>
      </c>
      <c r="E207" s="54" t="str">
        <f t="shared" ref="E207:E216" si="7">IF(AND(ISNUMBER(C207),ISNUMBER($C$9)),C207/$C$9*$C$10,"")</f>
        <v/>
      </c>
    </row>
    <row r="208" spans="2:5">
      <c r="B208" s="26" t="str">
        <f>'EDC&amp;EDP_Est'!$A198</f>
        <v/>
      </c>
      <c r="C208" s="50" t="str">
        <f>IF($B208="","",'EDC&amp;EDP_Est'!$G198)</f>
        <v/>
      </c>
      <c r="D208" s="54" t="str">
        <f t="shared" si="6"/>
        <v/>
      </c>
      <c r="E208" s="54" t="str">
        <f t="shared" si="7"/>
        <v/>
      </c>
    </row>
    <row r="209" spans="2:5">
      <c r="B209" s="26" t="str">
        <f>'EDC&amp;EDP_Est'!$A199</f>
        <v/>
      </c>
      <c r="C209" s="50" t="str">
        <f>IF($B209="","",'EDC&amp;EDP_Est'!$G199)</f>
        <v/>
      </c>
      <c r="D209" s="54" t="str">
        <f t="shared" si="6"/>
        <v/>
      </c>
      <c r="E209" s="54" t="str">
        <f t="shared" si="7"/>
        <v/>
      </c>
    </row>
    <row r="210" spans="2:5">
      <c r="B210" s="26" t="str">
        <f>'EDC&amp;EDP_Est'!$A200</f>
        <v/>
      </c>
      <c r="C210" s="50" t="str">
        <f>IF($B210="","",'EDC&amp;EDP_Est'!$G200)</f>
        <v/>
      </c>
      <c r="D210" s="54" t="str">
        <f t="shared" si="6"/>
        <v/>
      </c>
      <c r="E210" s="54" t="str">
        <f t="shared" si="7"/>
        <v/>
      </c>
    </row>
    <row r="211" spans="2:5">
      <c r="B211" s="26" t="str">
        <f>'EDC&amp;EDP_Est'!$A201</f>
        <v/>
      </c>
      <c r="C211" s="50" t="str">
        <f>IF($B211="","",'EDC&amp;EDP_Est'!$G201)</f>
        <v/>
      </c>
      <c r="D211" s="54" t="str">
        <f t="shared" si="6"/>
        <v/>
      </c>
      <c r="E211" s="54" t="str">
        <f t="shared" si="7"/>
        <v/>
      </c>
    </row>
    <row r="212" spans="2:5">
      <c r="B212" s="26" t="str">
        <f>'EDC&amp;EDP_Est'!$A202</f>
        <v/>
      </c>
      <c r="C212" s="50" t="str">
        <f>IF($B212="","",'EDC&amp;EDP_Est'!$G202)</f>
        <v/>
      </c>
      <c r="D212" s="54" t="str">
        <f t="shared" si="6"/>
        <v/>
      </c>
      <c r="E212" s="54" t="str">
        <f t="shared" si="7"/>
        <v/>
      </c>
    </row>
    <row r="213" spans="2:5">
      <c r="B213" s="26" t="str">
        <f>'EDC&amp;EDP_Est'!$A203</f>
        <v/>
      </c>
      <c r="C213" s="50" t="str">
        <f>IF($B213="","",'EDC&amp;EDP_Est'!$G203)</f>
        <v/>
      </c>
      <c r="D213" s="54" t="str">
        <f t="shared" si="6"/>
        <v/>
      </c>
      <c r="E213" s="54" t="str">
        <f t="shared" si="7"/>
        <v/>
      </c>
    </row>
    <row r="214" spans="2:5">
      <c r="B214" s="26" t="str">
        <f>'EDC&amp;EDP_Est'!$A204</f>
        <v/>
      </c>
      <c r="C214" s="50" t="str">
        <f>IF($B214="","",'EDC&amp;EDP_Est'!$G204)</f>
        <v/>
      </c>
      <c r="D214" s="54" t="str">
        <f t="shared" si="6"/>
        <v/>
      </c>
      <c r="E214" s="54" t="str">
        <f t="shared" si="7"/>
        <v/>
      </c>
    </row>
    <row r="215" spans="2:5">
      <c r="B215" s="26" t="str">
        <f>'EDC&amp;EDP_Est'!$A205</f>
        <v/>
      </c>
      <c r="C215" s="50" t="str">
        <f>IF($B215="","",'EDC&amp;EDP_Est'!$G205)</f>
        <v/>
      </c>
      <c r="D215" s="54" t="str">
        <f t="shared" si="6"/>
        <v/>
      </c>
      <c r="E215" s="54" t="str">
        <f t="shared" si="7"/>
        <v/>
      </c>
    </row>
    <row r="216" spans="2:5">
      <c r="B216" s="26" t="str">
        <f>'EDC&amp;EDP_Est'!$A206</f>
        <v/>
      </c>
      <c r="C216" s="50" t="str">
        <f>IF($B216="","",'EDC&amp;EDP_Est'!$G206)</f>
        <v/>
      </c>
      <c r="D216" s="54" t="str">
        <f t="shared" si="6"/>
        <v/>
      </c>
      <c r="E216" s="54" t="str">
        <f t="shared" si="7"/>
        <v/>
      </c>
    </row>
  </sheetData>
  <sheetProtection sheet="1" objects="1" scenarios="1"/>
  <mergeCells count="2">
    <mergeCell ref="B2:E2"/>
    <mergeCell ref="B5:E5"/>
  </mergeCells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02"/>
  <sheetViews>
    <sheetView workbookViewId="0">
      <selection activeCell="B15" sqref="B15:F15"/>
    </sheetView>
  </sheetViews>
  <sheetFormatPr defaultRowHeight="12.75"/>
  <cols>
    <col min="1" max="1" width="16.28515625" style="1" customWidth="1"/>
    <col min="2" max="2" width="20.85546875" style="1" customWidth="1"/>
    <col min="3" max="3" width="14.5703125" style="1" customWidth="1"/>
    <col min="4" max="4" width="18" style="1" customWidth="1"/>
    <col min="5" max="5" width="17.28515625" style="1" customWidth="1"/>
    <col min="6" max="6" width="18" style="1" customWidth="1"/>
    <col min="7" max="16384" width="9.140625" style="1"/>
  </cols>
  <sheetData>
    <row r="1" spans="1:6" ht="18" customHeight="1">
      <c r="A1" s="131" t="s">
        <v>17</v>
      </c>
      <c r="B1" s="132"/>
      <c r="C1" s="133"/>
      <c r="D1" s="133"/>
      <c r="E1" s="133"/>
      <c r="F1" s="134"/>
    </row>
    <row r="2" spans="1:6" ht="16.5" customHeight="1">
      <c r="A2" s="19" t="s">
        <v>16</v>
      </c>
      <c r="B2" s="135" t="s">
        <v>1</v>
      </c>
      <c r="C2" s="136"/>
      <c r="D2" s="136"/>
      <c r="E2" s="136"/>
      <c r="F2" s="137"/>
    </row>
    <row r="3" spans="1:6">
      <c r="A3" s="106" t="s">
        <v>155</v>
      </c>
      <c r="B3" s="128" t="s">
        <v>173</v>
      </c>
      <c r="C3" s="129"/>
      <c r="D3" s="129"/>
      <c r="E3" s="129"/>
      <c r="F3" s="130"/>
    </row>
    <row r="4" spans="1:6" ht="36.75" customHeight="1">
      <c r="A4" s="106" t="s">
        <v>156</v>
      </c>
      <c r="B4" s="128" t="s">
        <v>174</v>
      </c>
      <c r="C4" s="129" t="s">
        <v>150</v>
      </c>
      <c r="D4" s="129" t="s">
        <v>150</v>
      </c>
      <c r="E4" s="129" t="s">
        <v>150</v>
      </c>
      <c r="F4" s="130" t="s">
        <v>150</v>
      </c>
    </row>
    <row r="5" spans="1:6">
      <c r="A5" s="106" t="s">
        <v>157</v>
      </c>
      <c r="B5" s="128" t="s">
        <v>154</v>
      </c>
      <c r="C5" s="129" t="s">
        <v>151</v>
      </c>
      <c r="D5" s="129" t="s">
        <v>151</v>
      </c>
      <c r="E5" s="129" t="s">
        <v>151</v>
      </c>
      <c r="F5" s="130" t="s">
        <v>151</v>
      </c>
    </row>
    <row r="6" spans="1:6" ht="12.75" customHeight="1">
      <c r="A6" s="106" t="s">
        <v>153</v>
      </c>
      <c r="B6" s="128" t="s">
        <v>153</v>
      </c>
      <c r="C6" s="129" t="s">
        <v>153</v>
      </c>
      <c r="D6" s="129" t="s">
        <v>153</v>
      </c>
      <c r="E6" s="129" t="s">
        <v>153</v>
      </c>
      <c r="F6" s="130" t="s">
        <v>153</v>
      </c>
    </row>
    <row r="7" spans="1:6">
      <c r="A7" s="106" t="s">
        <v>152</v>
      </c>
      <c r="B7" s="128" t="s">
        <v>158</v>
      </c>
      <c r="C7" s="129" t="s">
        <v>152</v>
      </c>
      <c r="D7" s="129" t="s">
        <v>152</v>
      </c>
      <c r="E7" s="129" t="s">
        <v>152</v>
      </c>
      <c r="F7" s="130" t="s">
        <v>152</v>
      </c>
    </row>
    <row r="8" spans="1:6">
      <c r="A8" s="106"/>
      <c r="B8" s="128"/>
      <c r="C8" s="129"/>
      <c r="D8" s="129"/>
      <c r="E8" s="129"/>
      <c r="F8" s="130"/>
    </row>
    <row r="9" spans="1:6">
      <c r="A9" s="4"/>
      <c r="B9" s="140"/>
      <c r="C9" s="129"/>
      <c r="D9" s="129"/>
      <c r="E9" s="129"/>
      <c r="F9" s="130"/>
    </row>
    <row r="10" spans="1:6">
      <c r="A10" s="4"/>
      <c r="B10" s="128"/>
      <c r="C10" s="129"/>
      <c r="D10" s="129"/>
      <c r="E10" s="129"/>
      <c r="F10" s="130"/>
    </row>
    <row r="11" spans="1:6">
      <c r="A11" s="4"/>
      <c r="B11" s="128"/>
      <c r="C11" s="129"/>
      <c r="D11" s="129"/>
      <c r="E11" s="129"/>
      <c r="F11" s="130"/>
    </row>
    <row r="12" spans="1:6">
      <c r="A12" s="4"/>
      <c r="B12" s="128"/>
      <c r="C12" s="129"/>
      <c r="D12" s="129"/>
      <c r="E12" s="129"/>
      <c r="F12" s="130"/>
    </row>
    <row r="13" spans="1:6">
      <c r="A13" s="4"/>
      <c r="B13" s="128"/>
      <c r="C13" s="129"/>
      <c r="D13" s="129"/>
      <c r="E13" s="129"/>
      <c r="F13" s="130"/>
    </row>
    <row r="14" spans="1:6">
      <c r="A14" s="4"/>
      <c r="B14" s="128"/>
      <c r="C14" s="129"/>
      <c r="D14" s="129"/>
      <c r="E14" s="129"/>
      <c r="F14" s="130"/>
    </row>
    <row r="15" spans="1:6">
      <c r="A15" s="4"/>
      <c r="B15" s="128"/>
      <c r="C15" s="129"/>
      <c r="D15" s="129"/>
      <c r="E15" s="129"/>
      <c r="F15" s="130"/>
    </row>
    <row r="16" spans="1:6">
      <c r="A16" s="4"/>
      <c r="B16" s="128"/>
      <c r="C16" s="129"/>
      <c r="D16" s="129"/>
      <c r="E16" s="129"/>
      <c r="F16" s="130"/>
    </row>
    <row r="17" spans="1:6">
      <c r="A17" s="4"/>
      <c r="B17" s="128"/>
      <c r="C17" s="129"/>
      <c r="D17" s="129"/>
      <c r="E17" s="129"/>
      <c r="F17" s="130"/>
    </row>
    <row r="18" spans="1:6">
      <c r="A18" s="4"/>
      <c r="B18" s="128"/>
      <c r="C18" s="129"/>
      <c r="D18" s="129"/>
      <c r="E18" s="129"/>
      <c r="F18" s="130"/>
    </row>
    <row r="19" spans="1:6">
      <c r="A19" s="4"/>
      <c r="B19" s="128"/>
      <c r="C19" s="129"/>
      <c r="D19" s="129"/>
      <c r="E19" s="129"/>
      <c r="F19" s="130"/>
    </row>
    <row r="20" spans="1:6">
      <c r="A20" s="4"/>
      <c r="B20" s="128"/>
      <c r="C20" s="129"/>
      <c r="D20" s="129"/>
      <c r="E20" s="129"/>
      <c r="F20" s="130"/>
    </row>
    <row r="21" spans="1:6">
      <c r="A21" s="4"/>
      <c r="B21" s="128"/>
      <c r="C21" s="129"/>
      <c r="D21" s="129"/>
      <c r="E21" s="129"/>
      <c r="F21" s="130"/>
    </row>
    <row r="22" spans="1:6">
      <c r="A22" s="4"/>
      <c r="B22" s="128"/>
      <c r="C22" s="129"/>
      <c r="D22" s="129"/>
      <c r="E22" s="129"/>
      <c r="F22" s="130"/>
    </row>
    <row r="23" spans="1:6">
      <c r="A23" s="4"/>
      <c r="B23" s="128"/>
      <c r="C23" s="129"/>
      <c r="D23" s="129"/>
      <c r="E23" s="129"/>
      <c r="F23" s="130"/>
    </row>
    <row r="24" spans="1:6">
      <c r="A24" s="4"/>
      <c r="B24" s="128"/>
      <c r="C24" s="129"/>
      <c r="D24" s="129"/>
      <c r="E24" s="129"/>
      <c r="F24" s="130"/>
    </row>
    <row r="25" spans="1:6">
      <c r="A25" s="4"/>
      <c r="B25" s="128"/>
      <c r="C25" s="129"/>
      <c r="D25" s="129"/>
      <c r="E25" s="129"/>
      <c r="F25" s="130"/>
    </row>
    <row r="26" spans="1:6">
      <c r="A26" s="4"/>
      <c r="B26" s="128"/>
      <c r="C26" s="129"/>
      <c r="D26" s="129"/>
      <c r="E26" s="129"/>
      <c r="F26" s="130"/>
    </row>
    <row r="27" spans="1:6">
      <c r="A27" s="4"/>
      <c r="B27" s="128"/>
      <c r="C27" s="129"/>
      <c r="D27" s="129"/>
      <c r="E27" s="129"/>
      <c r="F27" s="130"/>
    </row>
    <row r="28" spans="1:6">
      <c r="A28" s="4"/>
      <c r="B28" s="128"/>
      <c r="C28" s="129"/>
      <c r="D28" s="129"/>
      <c r="E28" s="129"/>
      <c r="F28" s="130"/>
    </row>
    <row r="29" spans="1:6">
      <c r="A29" s="4"/>
      <c r="B29" s="128"/>
      <c r="C29" s="129"/>
      <c r="D29" s="129"/>
      <c r="E29" s="129"/>
      <c r="F29" s="130"/>
    </row>
    <row r="30" spans="1:6">
      <c r="A30" s="4"/>
      <c r="B30" s="128"/>
      <c r="C30" s="129"/>
      <c r="D30" s="129"/>
      <c r="E30" s="129"/>
      <c r="F30" s="130"/>
    </row>
    <row r="31" spans="1:6">
      <c r="A31" s="4"/>
      <c r="B31" s="128"/>
      <c r="C31" s="129"/>
      <c r="D31" s="129"/>
      <c r="E31" s="129"/>
      <c r="F31" s="130"/>
    </row>
    <row r="32" spans="1:6">
      <c r="A32" s="4"/>
      <c r="B32" s="128"/>
      <c r="C32" s="129"/>
      <c r="D32" s="129"/>
      <c r="E32" s="129"/>
      <c r="F32" s="130"/>
    </row>
    <row r="33" spans="1:6">
      <c r="A33" s="4"/>
      <c r="B33" s="128"/>
      <c r="C33" s="129"/>
      <c r="D33" s="129"/>
      <c r="E33" s="129"/>
      <c r="F33" s="130"/>
    </row>
    <row r="34" spans="1:6">
      <c r="A34" s="4"/>
      <c r="B34" s="128"/>
      <c r="C34" s="129"/>
      <c r="D34" s="129"/>
      <c r="E34" s="129"/>
      <c r="F34" s="130"/>
    </row>
    <row r="35" spans="1:6">
      <c r="A35" s="4"/>
      <c r="B35" s="128"/>
      <c r="C35" s="129"/>
      <c r="D35" s="129"/>
      <c r="E35" s="129"/>
      <c r="F35" s="130"/>
    </row>
    <row r="36" spans="1:6">
      <c r="A36" s="4"/>
      <c r="B36" s="128"/>
      <c r="C36" s="129"/>
      <c r="D36" s="129"/>
      <c r="E36" s="129"/>
      <c r="F36" s="130"/>
    </row>
    <row r="37" spans="1:6">
      <c r="A37" s="4"/>
      <c r="B37" s="128"/>
      <c r="C37" s="129"/>
      <c r="D37" s="129"/>
      <c r="E37" s="129"/>
      <c r="F37" s="130"/>
    </row>
    <row r="38" spans="1:6">
      <c r="A38" s="4"/>
      <c r="B38" s="128"/>
      <c r="C38" s="129"/>
      <c r="D38" s="129"/>
      <c r="E38" s="129"/>
      <c r="F38" s="130"/>
    </row>
    <row r="39" spans="1:6">
      <c r="A39" s="4"/>
      <c r="B39" s="128"/>
      <c r="C39" s="129"/>
      <c r="D39" s="129"/>
      <c r="E39" s="129"/>
      <c r="F39" s="130"/>
    </row>
    <row r="40" spans="1:6">
      <c r="A40" s="4"/>
      <c r="B40" s="128"/>
      <c r="C40" s="129"/>
      <c r="D40" s="129"/>
      <c r="E40" s="129"/>
      <c r="F40" s="130"/>
    </row>
    <row r="41" spans="1:6">
      <c r="A41" s="4"/>
      <c r="B41" s="128"/>
      <c r="C41" s="129"/>
      <c r="D41" s="129"/>
      <c r="E41" s="129"/>
      <c r="F41" s="130"/>
    </row>
    <row r="42" spans="1:6">
      <c r="A42" s="4"/>
      <c r="B42" s="128"/>
      <c r="C42" s="129"/>
      <c r="D42" s="129"/>
      <c r="E42" s="129"/>
      <c r="F42" s="130"/>
    </row>
    <row r="43" spans="1:6">
      <c r="A43" s="4"/>
      <c r="B43" s="128"/>
      <c r="C43" s="129"/>
      <c r="D43" s="129"/>
      <c r="E43" s="129"/>
      <c r="F43" s="130"/>
    </row>
    <row r="44" spans="1:6">
      <c r="A44" s="4"/>
      <c r="B44" s="128"/>
      <c r="C44" s="129"/>
      <c r="D44" s="129"/>
      <c r="E44" s="129"/>
      <c r="F44" s="130"/>
    </row>
    <row r="45" spans="1:6">
      <c r="A45" s="4"/>
      <c r="B45" s="128"/>
      <c r="C45" s="129"/>
      <c r="D45" s="129"/>
      <c r="E45" s="129"/>
      <c r="F45" s="130"/>
    </row>
    <row r="46" spans="1:6">
      <c r="A46" s="4"/>
      <c r="B46" s="128"/>
      <c r="C46" s="129"/>
      <c r="D46" s="129"/>
      <c r="E46" s="129"/>
      <c r="F46" s="130"/>
    </row>
    <row r="47" spans="1:6">
      <c r="A47" s="4"/>
      <c r="B47" s="128"/>
      <c r="C47" s="129"/>
      <c r="D47" s="129"/>
      <c r="E47" s="129"/>
      <c r="F47" s="130"/>
    </row>
    <row r="48" spans="1:6">
      <c r="A48" s="4"/>
      <c r="B48" s="128"/>
      <c r="C48" s="129"/>
      <c r="D48" s="129"/>
      <c r="E48" s="129"/>
      <c r="F48" s="130"/>
    </row>
    <row r="49" spans="1:6">
      <c r="A49" s="4"/>
      <c r="B49" s="128"/>
      <c r="C49" s="129"/>
      <c r="D49" s="129"/>
      <c r="E49" s="129"/>
      <c r="F49" s="130"/>
    </row>
    <row r="50" spans="1:6">
      <c r="A50" s="4"/>
      <c r="B50" s="128"/>
      <c r="C50" s="129"/>
      <c r="D50" s="129"/>
      <c r="E50" s="129"/>
      <c r="F50" s="130"/>
    </row>
    <row r="51" spans="1:6">
      <c r="A51" s="4"/>
      <c r="B51" s="128"/>
      <c r="C51" s="129"/>
      <c r="D51" s="129"/>
      <c r="E51" s="129"/>
      <c r="F51" s="130"/>
    </row>
    <row r="52" spans="1:6">
      <c r="A52" s="4"/>
      <c r="B52" s="128"/>
      <c r="C52" s="129"/>
      <c r="D52" s="129"/>
      <c r="E52" s="129"/>
      <c r="F52" s="130"/>
    </row>
    <row r="53" spans="1:6">
      <c r="A53" s="4"/>
      <c r="B53" s="128"/>
      <c r="C53" s="129"/>
      <c r="D53" s="129"/>
      <c r="E53" s="129"/>
      <c r="F53" s="130"/>
    </row>
    <row r="54" spans="1:6">
      <c r="A54" s="4"/>
      <c r="B54" s="128"/>
      <c r="C54" s="129"/>
      <c r="D54" s="129"/>
      <c r="E54" s="129"/>
      <c r="F54" s="130"/>
    </row>
    <row r="55" spans="1:6">
      <c r="A55" s="4"/>
      <c r="B55" s="128"/>
      <c r="C55" s="129"/>
      <c r="D55" s="129"/>
      <c r="E55" s="129"/>
      <c r="F55" s="130"/>
    </row>
    <row r="56" spans="1:6">
      <c r="A56" s="4"/>
      <c r="B56" s="128"/>
      <c r="C56" s="129"/>
      <c r="D56" s="129"/>
      <c r="E56" s="129"/>
      <c r="F56" s="130"/>
    </row>
    <row r="57" spans="1:6">
      <c r="A57" s="4"/>
      <c r="B57" s="128"/>
      <c r="C57" s="129"/>
      <c r="D57" s="129"/>
      <c r="E57" s="129"/>
      <c r="F57" s="130"/>
    </row>
    <row r="58" spans="1:6">
      <c r="A58" s="4"/>
      <c r="B58" s="128"/>
      <c r="C58" s="129"/>
      <c r="D58" s="129"/>
      <c r="E58" s="129"/>
      <c r="F58" s="130"/>
    </row>
    <row r="59" spans="1:6">
      <c r="A59" s="4"/>
      <c r="B59" s="128"/>
      <c r="C59" s="129"/>
      <c r="D59" s="129"/>
      <c r="E59" s="129"/>
      <c r="F59" s="130"/>
    </row>
    <row r="60" spans="1:6">
      <c r="A60" s="4"/>
      <c r="B60" s="128"/>
      <c r="C60" s="129"/>
      <c r="D60" s="129"/>
      <c r="E60" s="129"/>
      <c r="F60" s="130"/>
    </row>
    <row r="61" spans="1:6">
      <c r="A61" s="4"/>
      <c r="B61" s="128"/>
      <c r="C61" s="129"/>
      <c r="D61" s="129"/>
      <c r="E61" s="129"/>
      <c r="F61" s="130"/>
    </row>
    <row r="62" spans="1:6">
      <c r="A62" s="4"/>
      <c r="B62" s="128"/>
      <c r="C62" s="129"/>
      <c r="D62" s="129"/>
      <c r="E62" s="129"/>
      <c r="F62" s="130"/>
    </row>
    <row r="63" spans="1:6">
      <c r="A63" s="4"/>
      <c r="B63" s="128"/>
      <c r="C63" s="129"/>
      <c r="D63" s="129"/>
      <c r="E63" s="129"/>
      <c r="F63" s="130"/>
    </row>
    <row r="64" spans="1:6">
      <c r="A64" s="4"/>
      <c r="B64" s="128"/>
      <c r="C64" s="129"/>
      <c r="D64" s="129"/>
      <c r="E64" s="129"/>
      <c r="F64" s="130"/>
    </row>
    <row r="65" spans="1:6">
      <c r="A65" s="4"/>
      <c r="B65" s="128"/>
      <c r="C65" s="129"/>
      <c r="D65" s="129"/>
      <c r="E65" s="129"/>
      <c r="F65" s="130"/>
    </row>
    <row r="66" spans="1:6">
      <c r="A66" s="4"/>
      <c r="B66" s="128"/>
      <c r="C66" s="129"/>
      <c r="D66" s="129"/>
      <c r="E66" s="129"/>
      <c r="F66" s="130"/>
    </row>
    <row r="67" spans="1:6">
      <c r="A67" s="4"/>
      <c r="B67" s="128"/>
      <c r="C67" s="129"/>
      <c r="D67" s="129"/>
      <c r="E67" s="129"/>
      <c r="F67" s="130"/>
    </row>
    <row r="68" spans="1:6">
      <c r="A68" s="4"/>
      <c r="B68" s="128"/>
      <c r="C68" s="129"/>
      <c r="D68" s="129"/>
      <c r="E68" s="129"/>
      <c r="F68" s="130"/>
    </row>
    <row r="69" spans="1:6">
      <c r="A69" s="4"/>
      <c r="B69" s="128"/>
      <c r="C69" s="129"/>
      <c r="D69" s="129"/>
      <c r="E69" s="129"/>
      <c r="F69" s="130"/>
    </row>
    <row r="70" spans="1:6">
      <c r="A70" s="4"/>
      <c r="B70" s="128"/>
      <c r="C70" s="129"/>
      <c r="D70" s="129"/>
      <c r="E70" s="129"/>
      <c r="F70" s="130"/>
    </row>
    <row r="71" spans="1:6">
      <c r="A71" s="4"/>
      <c r="B71" s="128"/>
      <c r="C71" s="129"/>
      <c r="D71" s="129"/>
      <c r="E71" s="129"/>
      <c r="F71" s="130"/>
    </row>
    <row r="72" spans="1:6">
      <c r="A72" s="4"/>
      <c r="B72" s="128"/>
      <c r="C72" s="129"/>
      <c r="D72" s="129"/>
      <c r="E72" s="129"/>
      <c r="F72" s="130"/>
    </row>
    <row r="73" spans="1:6">
      <c r="A73" s="4"/>
      <c r="B73" s="128"/>
      <c r="C73" s="129"/>
      <c r="D73" s="129"/>
      <c r="E73" s="129"/>
      <c r="F73" s="130"/>
    </row>
    <row r="74" spans="1:6">
      <c r="A74" s="4"/>
      <c r="B74" s="128"/>
      <c r="C74" s="129"/>
      <c r="D74" s="129"/>
      <c r="E74" s="129"/>
      <c r="F74" s="130"/>
    </row>
    <row r="75" spans="1:6">
      <c r="A75" s="4"/>
      <c r="B75" s="128"/>
      <c r="C75" s="129"/>
      <c r="D75" s="129"/>
      <c r="E75" s="129"/>
      <c r="F75" s="130"/>
    </row>
    <row r="76" spans="1:6">
      <c r="A76" s="4"/>
      <c r="B76" s="128"/>
      <c r="C76" s="129"/>
      <c r="D76" s="129"/>
      <c r="E76" s="129"/>
      <c r="F76" s="130"/>
    </row>
    <row r="77" spans="1:6">
      <c r="A77" s="4"/>
      <c r="B77" s="128"/>
      <c r="C77" s="129"/>
      <c r="D77" s="129"/>
      <c r="E77" s="129"/>
      <c r="F77" s="130"/>
    </row>
    <row r="78" spans="1:6">
      <c r="A78" s="4"/>
      <c r="B78" s="128"/>
      <c r="C78" s="129"/>
      <c r="D78" s="129"/>
      <c r="E78" s="129"/>
      <c r="F78" s="130"/>
    </row>
    <row r="79" spans="1:6">
      <c r="A79" s="4"/>
      <c r="B79" s="128"/>
      <c r="C79" s="129"/>
      <c r="D79" s="129"/>
      <c r="E79" s="129"/>
      <c r="F79" s="130"/>
    </row>
    <row r="80" spans="1:6">
      <c r="A80" s="4"/>
      <c r="B80" s="128"/>
      <c r="C80" s="129"/>
      <c r="D80" s="129"/>
      <c r="E80" s="129"/>
      <c r="F80" s="130"/>
    </row>
    <row r="81" spans="1:6">
      <c r="A81" s="4"/>
      <c r="B81" s="128"/>
      <c r="C81" s="129"/>
      <c r="D81" s="129"/>
      <c r="E81" s="129"/>
      <c r="F81" s="130"/>
    </row>
    <row r="82" spans="1:6">
      <c r="A82" s="4"/>
      <c r="B82" s="128"/>
      <c r="C82" s="129"/>
      <c r="D82" s="129"/>
      <c r="E82" s="129"/>
      <c r="F82" s="130"/>
    </row>
    <row r="83" spans="1:6">
      <c r="A83" s="4"/>
      <c r="B83" s="128"/>
      <c r="C83" s="129"/>
      <c r="D83" s="129"/>
      <c r="E83" s="129"/>
      <c r="F83" s="130"/>
    </row>
    <row r="84" spans="1:6">
      <c r="A84" s="4"/>
      <c r="B84" s="128"/>
      <c r="C84" s="129"/>
      <c r="D84" s="129"/>
      <c r="E84" s="129"/>
      <c r="F84" s="130"/>
    </row>
    <row r="85" spans="1:6">
      <c r="A85" s="4"/>
      <c r="B85" s="128"/>
      <c r="C85" s="129"/>
      <c r="D85" s="129"/>
      <c r="E85" s="129"/>
      <c r="F85" s="130"/>
    </row>
    <row r="86" spans="1:6">
      <c r="A86" s="4"/>
      <c r="B86" s="128"/>
      <c r="C86" s="129"/>
      <c r="D86" s="129"/>
      <c r="E86" s="129"/>
      <c r="F86" s="130"/>
    </row>
    <row r="87" spans="1:6">
      <c r="A87" s="4"/>
      <c r="B87" s="128"/>
      <c r="C87" s="129"/>
      <c r="D87" s="129"/>
      <c r="E87" s="129"/>
      <c r="F87" s="130"/>
    </row>
    <row r="88" spans="1:6">
      <c r="A88" s="4"/>
      <c r="B88" s="128"/>
      <c r="C88" s="129"/>
      <c r="D88" s="129"/>
      <c r="E88" s="129"/>
      <c r="F88" s="130"/>
    </row>
    <row r="89" spans="1:6">
      <c r="A89" s="4"/>
      <c r="B89" s="128"/>
      <c r="C89" s="129"/>
      <c r="D89" s="129"/>
      <c r="E89" s="129"/>
      <c r="F89" s="130"/>
    </row>
    <row r="90" spans="1:6">
      <c r="A90" s="4"/>
      <c r="B90" s="128"/>
      <c r="C90" s="129"/>
      <c r="D90" s="129"/>
      <c r="E90" s="129"/>
      <c r="F90" s="130"/>
    </row>
    <row r="91" spans="1:6">
      <c r="A91" s="4"/>
      <c r="B91" s="128"/>
      <c r="C91" s="129"/>
      <c r="D91" s="129"/>
      <c r="E91" s="129"/>
      <c r="F91" s="130"/>
    </row>
    <row r="92" spans="1:6">
      <c r="A92" s="4"/>
      <c r="B92" s="128"/>
      <c r="C92" s="129"/>
      <c r="D92" s="129"/>
      <c r="E92" s="129"/>
      <c r="F92" s="130"/>
    </row>
    <row r="93" spans="1:6">
      <c r="A93" s="4"/>
      <c r="B93" s="128"/>
      <c r="C93" s="129"/>
      <c r="D93" s="129"/>
      <c r="E93" s="129"/>
      <c r="F93" s="130"/>
    </row>
    <row r="94" spans="1:6">
      <c r="A94" s="4"/>
      <c r="B94" s="128"/>
      <c r="C94" s="129"/>
      <c r="D94" s="129"/>
      <c r="E94" s="129"/>
      <c r="F94" s="130"/>
    </row>
    <row r="95" spans="1:6">
      <c r="A95" s="4"/>
      <c r="B95" s="128"/>
      <c r="C95" s="129"/>
      <c r="D95" s="129"/>
      <c r="E95" s="129"/>
      <c r="F95" s="130"/>
    </row>
    <row r="96" spans="1:6">
      <c r="A96" s="4"/>
      <c r="B96" s="128"/>
      <c r="C96" s="129"/>
      <c r="D96" s="129"/>
      <c r="E96" s="129"/>
      <c r="F96" s="130"/>
    </row>
    <row r="97" spans="1:6">
      <c r="A97" s="4"/>
      <c r="B97" s="128"/>
      <c r="C97" s="129"/>
      <c r="D97" s="129"/>
      <c r="E97" s="129"/>
      <c r="F97" s="130"/>
    </row>
    <row r="98" spans="1:6">
      <c r="A98" s="4"/>
      <c r="B98" s="128"/>
      <c r="C98" s="129"/>
      <c r="D98" s="129"/>
      <c r="E98" s="129"/>
      <c r="F98" s="130"/>
    </row>
    <row r="99" spans="1:6">
      <c r="A99" s="4"/>
      <c r="B99" s="128"/>
      <c r="C99" s="129"/>
      <c r="D99" s="129"/>
      <c r="E99" s="129"/>
      <c r="F99" s="130"/>
    </row>
    <row r="100" spans="1:6">
      <c r="A100" s="4"/>
      <c r="B100" s="128"/>
      <c r="C100" s="129"/>
      <c r="D100" s="129"/>
      <c r="E100" s="129"/>
      <c r="F100" s="130"/>
    </row>
    <row r="101" spans="1:6">
      <c r="A101" s="4"/>
      <c r="B101" s="128"/>
      <c r="C101" s="129"/>
      <c r="D101" s="129"/>
      <c r="E101" s="129"/>
      <c r="F101" s="130"/>
    </row>
    <row r="102" spans="1:6">
      <c r="A102" s="4"/>
      <c r="B102" s="128"/>
      <c r="C102" s="129"/>
      <c r="D102" s="129"/>
      <c r="E102" s="129"/>
      <c r="F102" s="130"/>
    </row>
    <row r="103" spans="1:6">
      <c r="A103" s="4"/>
      <c r="B103" s="128"/>
      <c r="C103" s="129"/>
      <c r="D103" s="129"/>
      <c r="E103" s="129"/>
      <c r="F103" s="130"/>
    </row>
    <row r="104" spans="1:6">
      <c r="A104" s="4"/>
      <c r="B104" s="128"/>
      <c r="C104" s="129"/>
      <c r="D104" s="129"/>
      <c r="E104" s="129"/>
      <c r="F104" s="130"/>
    </row>
    <row r="105" spans="1:6">
      <c r="A105" s="4"/>
      <c r="B105" s="128"/>
      <c r="C105" s="129"/>
      <c r="D105" s="129"/>
      <c r="E105" s="129"/>
      <c r="F105" s="130"/>
    </row>
    <row r="106" spans="1:6">
      <c r="A106" s="4"/>
      <c r="B106" s="128"/>
      <c r="C106" s="129"/>
      <c r="D106" s="129"/>
      <c r="E106" s="129"/>
      <c r="F106" s="130"/>
    </row>
    <row r="107" spans="1:6">
      <c r="A107" s="4"/>
      <c r="B107" s="128"/>
      <c r="C107" s="129"/>
      <c r="D107" s="129"/>
      <c r="E107" s="129"/>
      <c r="F107" s="130"/>
    </row>
    <row r="108" spans="1:6">
      <c r="A108" s="4"/>
      <c r="B108" s="128"/>
      <c r="C108" s="129"/>
      <c r="D108" s="129"/>
      <c r="E108" s="129"/>
      <c r="F108" s="130"/>
    </row>
    <row r="109" spans="1:6">
      <c r="A109" s="4"/>
      <c r="B109" s="128"/>
      <c r="C109" s="129"/>
      <c r="D109" s="129"/>
      <c r="E109" s="129"/>
      <c r="F109" s="130"/>
    </row>
    <row r="110" spans="1:6">
      <c r="A110" s="4"/>
      <c r="B110" s="128"/>
      <c r="C110" s="129"/>
      <c r="D110" s="129"/>
      <c r="E110" s="129"/>
      <c r="F110" s="130"/>
    </row>
    <row r="111" spans="1:6">
      <c r="A111" s="4"/>
      <c r="B111" s="128"/>
      <c r="C111" s="129"/>
      <c r="D111" s="129"/>
      <c r="E111" s="129"/>
      <c r="F111" s="130"/>
    </row>
    <row r="112" spans="1:6">
      <c r="A112" s="4"/>
      <c r="B112" s="128"/>
      <c r="C112" s="129"/>
      <c r="D112" s="129"/>
      <c r="E112" s="129"/>
      <c r="F112" s="130"/>
    </row>
    <row r="113" spans="1:6">
      <c r="A113" s="4"/>
      <c r="B113" s="128"/>
      <c r="C113" s="129"/>
      <c r="D113" s="129"/>
      <c r="E113" s="129"/>
      <c r="F113" s="130"/>
    </row>
    <row r="114" spans="1:6">
      <c r="A114" s="4"/>
      <c r="B114" s="128"/>
      <c r="C114" s="129"/>
      <c r="D114" s="129"/>
      <c r="E114" s="129"/>
      <c r="F114" s="130"/>
    </row>
    <row r="115" spans="1:6">
      <c r="A115" s="4"/>
      <c r="B115" s="128"/>
      <c r="C115" s="129"/>
      <c r="D115" s="129"/>
      <c r="E115" s="129"/>
      <c r="F115" s="130"/>
    </row>
    <row r="116" spans="1:6">
      <c r="A116" s="4"/>
      <c r="B116" s="128"/>
      <c r="C116" s="129"/>
      <c r="D116" s="129"/>
      <c r="E116" s="129"/>
      <c r="F116" s="130"/>
    </row>
    <row r="117" spans="1:6">
      <c r="A117" s="4"/>
      <c r="B117" s="128"/>
      <c r="C117" s="129"/>
      <c r="D117" s="129"/>
      <c r="E117" s="129"/>
      <c r="F117" s="130"/>
    </row>
    <row r="118" spans="1:6">
      <c r="A118" s="4"/>
      <c r="B118" s="128"/>
      <c r="C118" s="129"/>
      <c r="D118" s="129"/>
      <c r="E118" s="129"/>
      <c r="F118" s="130"/>
    </row>
    <row r="119" spans="1:6">
      <c r="A119" s="4"/>
      <c r="B119" s="128"/>
      <c r="C119" s="129"/>
      <c r="D119" s="129"/>
      <c r="E119" s="129"/>
      <c r="F119" s="130"/>
    </row>
    <row r="120" spans="1:6">
      <c r="A120" s="4"/>
      <c r="B120" s="128"/>
      <c r="C120" s="129"/>
      <c r="D120" s="129"/>
      <c r="E120" s="129"/>
      <c r="F120" s="130"/>
    </row>
    <row r="121" spans="1:6">
      <c r="A121" s="4"/>
      <c r="B121" s="128"/>
      <c r="C121" s="129"/>
      <c r="D121" s="129"/>
      <c r="E121" s="129"/>
      <c r="F121" s="130"/>
    </row>
    <row r="122" spans="1:6">
      <c r="A122" s="4"/>
      <c r="B122" s="128"/>
      <c r="C122" s="129"/>
      <c r="D122" s="129"/>
      <c r="E122" s="129"/>
      <c r="F122" s="130"/>
    </row>
    <row r="123" spans="1:6">
      <c r="A123" s="4"/>
      <c r="B123" s="128"/>
      <c r="C123" s="129"/>
      <c r="D123" s="129"/>
      <c r="E123" s="129"/>
      <c r="F123" s="130"/>
    </row>
    <row r="124" spans="1:6">
      <c r="A124" s="4"/>
      <c r="B124" s="128"/>
      <c r="C124" s="129"/>
      <c r="D124" s="129"/>
      <c r="E124" s="129"/>
      <c r="F124" s="130"/>
    </row>
    <row r="125" spans="1:6">
      <c r="A125" s="4"/>
      <c r="B125" s="128"/>
      <c r="C125" s="129"/>
      <c r="D125" s="129"/>
      <c r="E125" s="129"/>
      <c r="F125" s="130"/>
    </row>
    <row r="126" spans="1:6">
      <c r="A126" s="4"/>
      <c r="B126" s="128"/>
      <c r="C126" s="129"/>
      <c r="D126" s="129"/>
      <c r="E126" s="129"/>
      <c r="F126" s="130"/>
    </row>
    <row r="127" spans="1:6">
      <c r="A127" s="4"/>
      <c r="B127" s="128"/>
      <c r="C127" s="129"/>
      <c r="D127" s="129"/>
      <c r="E127" s="129"/>
      <c r="F127" s="130"/>
    </row>
    <row r="128" spans="1:6">
      <c r="A128" s="4"/>
      <c r="B128" s="128"/>
      <c r="C128" s="129"/>
      <c r="D128" s="129"/>
      <c r="E128" s="129"/>
      <c r="F128" s="130"/>
    </row>
    <row r="129" spans="1:6">
      <c r="A129" s="4"/>
      <c r="B129" s="128"/>
      <c r="C129" s="129"/>
      <c r="D129" s="129"/>
      <c r="E129" s="129"/>
      <c r="F129" s="130"/>
    </row>
    <row r="130" spans="1:6">
      <c r="A130" s="4"/>
      <c r="B130" s="128"/>
      <c r="C130" s="129"/>
      <c r="D130" s="129"/>
      <c r="E130" s="129"/>
      <c r="F130" s="130"/>
    </row>
    <row r="131" spans="1:6">
      <c r="A131" s="4"/>
      <c r="B131" s="128"/>
      <c r="C131" s="129"/>
      <c r="D131" s="129"/>
      <c r="E131" s="129"/>
      <c r="F131" s="130"/>
    </row>
    <row r="132" spans="1:6">
      <c r="A132" s="4"/>
      <c r="B132" s="128"/>
      <c r="C132" s="129"/>
      <c r="D132" s="129"/>
      <c r="E132" s="129"/>
      <c r="F132" s="130"/>
    </row>
    <row r="133" spans="1:6">
      <c r="A133" s="4"/>
      <c r="B133" s="128"/>
      <c r="C133" s="129"/>
      <c r="D133" s="129"/>
      <c r="E133" s="129"/>
      <c r="F133" s="130"/>
    </row>
    <row r="134" spans="1:6">
      <c r="A134" s="4"/>
      <c r="B134" s="128"/>
      <c r="C134" s="129"/>
      <c r="D134" s="129"/>
      <c r="E134" s="129"/>
      <c r="F134" s="130"/>
    </row>
    <row r="135" spans="1:6">
      <c r="A135" s="4"/>
      <c r="B135" s="128"/>
      <c r="C135" s="129"/>
      <c r="D135" s="129"/>
      <c r="E135" s="129"/>
      <c r="F135" s="130"/>
    </row>
    <row r="136" spans="1:6">
      <c r="A136" s="4"/>
      <c r="B136" s="128"/>
      <c r="C136" s="129"/>
      <c r="D136" s="129"/>
      <c r="E136" s="129"/>
      <c r="F136" s="130"/>
    </row>
    <row r="137" spans="1:6">
      <c r="A137" s="4"/>
      <c r="B137" s="128"/>
      <c r="C137" s="129"/>
      <c r="D137" s="129"/>
      <c r="E137" s="129"/>
      <c r="F137" s="130"/>
    </row>
    <row r="138" spans="1:6">
      <c r="A138" s="4"/>
      <c r="B138" s="128"/>
      <c r="C138" s="129"/>
      <c r="D138" s="129"/>
      <c r="E138" s="129"/>
      <c r="F138" s="130"/>
    </row>
    <row r="139" spans="1:6">
      <c r="A139" s="4"/>
      <c r="B139" s="128"/>
      <c r="C139" s="129"/>
      <c r="D139" s="129"/>
      <c r="E139" s="129"/>
      <c r="F139" s="130"/>
    </row>
    <row r="140" spans="1:6">
      <c r="A140" s="4"/>
      <c r="B140" s="128"/>
      <c r="C140" s="129"/>
      <c r="D140" s="129"/>
      <c r="E140" s="129"/>
      <c r="F140" s="130"/>
    </row>
    <row r="141" spans="1:6">
      <c r="A141" s="4"/>
      <c r="B141" s="128"/>
      <c r="C141" s="129"/>
      <c r="D141" s="129"/>
      <c r="E141" s="129"/>
      <c r="F141" s="130"/>
    </row>
    <row r="142" spans="1:6">
      <c r="A142" s="4"/>
      <c r="B142" s="128"/>
      <c r="C142" s="129"/>
      <c r="D142" s="129"/>
      <c r="E142" s="129"/>
      <c r="F142" s="130"/>
    </row>
    <row r="143" spans="1:6">
      <c r="A143" s="4"/>
      <c r="B143" s="128"/>
      <c r="C143" s="129"/>
      <c r="D143" s="129"/>
      <c r="E143" s="129"/>
      <c r="F143" s="130"/>
    </row>
    <row r="144" spans="1:6">
      <c r="A144" s="4"/>
      <c r="B144" s="128"/>
      <c r="C144" s="129"/>
      <c r="D144" s="129"/>
      <c r="E144" s="129"/>
      <c r="F144" s="130"/>
    </row>
    <row r="145" spans="1:6">
      <c r="A145" s="4"/>
      <c r="B145" s="128"/>
      <c r="C145" s="129"/>
      <c r="D145" s="129"/>
      <c r="E145" s="129"/>
      <c r="F145" s="130"/>
    </row>
    <row r="146" spans="1:6">
      <c r="A146" s="4"/>
      <c r="B146" s="128"/>
      <c r="C146" s="129"/>
      <c r="D146" s="129"/>
      <c r="E146" s="129"/>
      <c r="F146" s="130"/>
    </row>
    <row r="147" spans="1:6">
      <c r="A147" s="4"/>
      <c r="B147" s="128"/>
      <c r="C147" s="129"/>
      <c r="D147" s="129"/>
      <c r="E147" s="129"/>
      <c r="F147" s="130"/>
    </row>
    <row r="148" spans="1:6">
      <c r="A148" s="4"/>
      <c r="B148" s="128"/>
      <c r="C148" s="129"/>
      <c r="D148" s="129"/>
      <c r="E148" s="129"/>
      <c r="F148" s="130"/>
    </row>
    <row r="149" spans="1:6">
      <c r="A149" s="4"/>
      <c r="B149" s="128"/>
      <c r="C149" s="129"/>
      <c r="D149" s="129"/>
      <c r="E149" s="129"/>
      <c r="F149" s="130"/>
    </row>
    <row r="150" spans="1:6">
      <c r="A150" s="4"/>
      <c r="B150" s="128"/>
      <c r="C150" s="129"/>
      <c r="D150" s="129"/>
      <c r="E150" s="129"/>
      <c r="F150" s="130"/>
    </row>
    <row r="151" spans="1:6">
      <c r="A151" s="4"/>
      <c r="B151" s="128"/>
      <c r="C151" s="129"/>
      <c r="D151" s="129"/>
      <c r="E151" s="129"/>
      <c r="F151" s="130"/>
    </row>
    <row r="152" spans="1:6">
      <c r="A152" s="4"/>
      <c r="B152" s="128"/>
      <c r="C152" s="129"/>
      <c r="D152" s="129"/>
      <c r="E152" s="129"/>
      <c r="F152" s="130"/>
    </row>
    <row r="153" spans="1:6">
      <c r="A153" s="4"/>
      <c r="B153" s="128"/>
      <c r="C153" s="129"/>
      <c r="D153" s="129"/>
      <c r="E153" s="129"/>
      <c r="F153" s="130"/>
    </row>
    <row r="154" spans="1:6">
      <c r="A154" s="4"/>
      <c r="B154" s="128"/>
      <c r="C154" s="129"/>
      <c r="D154" s="129"/>
      <c r="E154" s="129"/>
      <c r="F154" s="130"/>
    </row>
    <row r="155" spans="1:6">
      <c r="A155" s="4"/>
      <c r="B155" s="128"/>
      <c r="C155" s="129"/>
      <c r="D155" s="129"/>
      <c r="E155" s="129"/>
      <c r="F155" s="130"/>
    </row>
    <row r="156" spans="1:6">
      <c r="A156" s="4"/>
      <c r="B156" s="128"/>
      <c r="C156" s="129"/>
      <c r="D156" s="129"/>
      <c r="E156" s="129"/>
      <c r="F156" s="130"/>
    </row>
    <row r="157" spans="1:6">
      <c r="A157" s="4"/>
      <c r="B157" s="128"/>
      <c r="C157" s="129"/>
      <c r="D157" s="129"/>
      <c r="E157" s="129"/>
      <c r="F157" s="130"/>
    </row>
    <row r="158" spans="1:6">
      <c r="A158" s="4"/>
      <c r="B158" s="128"/>
      <c r="C158" s="129"/>
      <c r="D158" s="129"/>
      <c r="E158" s="129"/>
      <c r="F158" s="130"/>
    </row>
    <row r="159" spans="1:6">
      <c r="A159" s="4"/>
      <c r="B159" s="128"/>
      <c r="C159" s="129"/>
      <c r="D159" s="129"/>
      <c r="E159" s="129"/>
      <c r="F159" s="130"/>
    </row>
    <row r="160" spans="1:6">
      <c r="A160" s="4"/>
      <c r="B160" s="128"/>
      <c r="C160" s="129"/>
      <c r="D160" s="129"/>
      <c r="E160" s="129"/>
      <c r="F160" s="130"/>
    </row>
    <row r="161" spans="1:6">
      <c r="A161" s="4"/>
      <c r="B161" s="128"/>
      <c r="C161" s="129"/>
      <c r="D161" s="129"/>
      <c r="E161" s="129"/>
      <c r="F161" s="130"/>
    </row>
    <row r="162" spans="1:6">
      <c r="A162" s="4"/>
      <c r="B162" s="128"/>
      <c r="C162" s="129"/>
      <c r="D162" s="129"/>
      <c r="E162" s="129"/>
      <c r="F162" s="130"/>
    </row>
    <row r="163" spans="1:6">
      <c r="A163" s="4"/>
      <c r="B163" s="128"/>
      <c r="C163" s="129"/>
      <c r="D163" s="129"/>
      <c r="E163" s="129"/>
      <c r="F163" s="130"/>
    </row>
    <row r="164" spans="1:6">
      <c r="A164" s="4"/>
      <c r="B164" s="128"/>
      <c r="C164" s="129"/>
      <c r="D164" s="129"/>
      <c r="E164" s="129"/>
      <c r="F164" s="130"/>
    </row>
    <row r="165" spans="1:6">
      <c r="A165" s="4"/>
      <c r="B165" s="128"/>
      <c r="C165" s="129"/>
      <c r="D165" s="129"/>
      <c r="E165" s="129"/>
      <c r="F165" s="130"/>
    </row>
    <row r="166" spans="1:6">
      <c r="A166" s="4"/>
      <c r="B166" s="128"/>
      <c r="C166" s="129"/>
      <c r="D166" s="129"/>
      <c r="E166" s="129"/>
      <c r="F166" s="130"/>
    </row>
    <row r="167" spans="1:6">
      <c r="A167" s="4"/>
      <c r="B167" s="128"/>
      <c r="C167" s="129"/>
      <c r="D167" s="129"/>
      <c r="E167" s="129"/>
      <c r="F167" s="130"/>
    </row>
    <row r="168" spans="1:6">
      <c r="A168" s="4"/>
      <c r="B168" s="128"/>
      <c r="C168" s="129"/>
      <c r="D168" s="129"/>
      <c r="E168" s="129"/>
      <c r="F168" s="130"/>
    </row>
    <row r="169" spans="1:6">
      <c r="A169" s="4"/>
      <c r="B169" s="128"/>
      <c r="C169" s="129"/>
      <c r="D169" s="129"/>
      <c r="E169" s="129"/>
      <c r="F169" s="130"/>
    </row>
    <row r="170" spans="1:6">
      <c r="A170" s="4"/>
      <c r="B170" s="128"/>
      <c r="C170" s="129"/>
      <c r="D170" s="129"/>
      <c r="E170" s="129"/>
      <c r="F170" s="130"/>
    </row>
    <row r="171" spans="1:6">
      <c r="A171" s="4"/>
      <c r="B171" s="128"/>
      <c r="C171" s="129"/>
      <c r="D171" s="129"/>
      <c r="E171" s="129"/>
      <c r="F171" s="130"/>
    </row>
    <row r="172" spans="1:6">
      <c r="A172" s="4"/>
      <c r="B172" s="128"/>
      <c r="C172" s="129"/>
      <c r="D172" s="129"/>
      <c r="E172" s="129"/>
      <c r="F172" s="130"/>
    </row>
    <row r="173" spans="1:6">
      <c r="A173" s="4"/>
      <c r="B173" s="128"/>
      <c r="C173" s="129"/>
      <c r="D173" s="129"/>
      <c r="E173" s="129"/>
      <c r="F173" s="130"/>
    </row>
    <row r="174" spans="1:6">
      <c r="A174" s="4"/>
      <c r="B174" s="128"/>
      <c r="C174" s="129"/>
      <c r="D174" s="129"/>
      <c r="E174" s="129"/>
      <c r="F174" s="130"/>
    </row>
    <row r="175" spans="1:6">
      <c r="A175" s="4"/>
      <c r="B175" s="128"/>
      <c r="C175" s="129"/>
      <c r="D175" s="129"/>
      <c r="E175" s="129"/>
      <c r="F175" s="130"/>
    </row>
    <row r="176" spans="1:6">
      <c r="A176" s="4"/>
      <c r="B176" s="128"/>
      <c r="C176" s="129"/>
      <c r="D176" s="129"/>
      <c r="E176" s="129"/>
      <c r="F176" s="130"/>
    </row>
    <row r="177" spans="1:6">
      <c r="A177" s="4"/>
      <c r="B177" s="128"/>
      <c r="C177" s="129"/>
      <c r="D177" s="129"/>
      <c r="E177" s="129"/>
      <c r="F177" s="130"/>
    </row>
    <row r="178" spans="1:6">
      <c r="A178" s="4"/>
      <c r="B178" s="128"/>
      <c r="C178" s="129"/>
      <c r="D178" s="129"/>
      <c r="E178" s="129"/>
      <c r="F178" s="130"/>
    </row>
    <row r="179" spans="1:6">
      <c r="A179" s="4"/>
      <c r="B179" s="128"/>
      <c r="C179" s="129"/>
      <c r="D179" s="129"/>
      <c r="E179" s="129"/>
      <c r="F179" s="130"/>
    </row>
    <row r="180" spans="1:6">
      <c r="A180" s="4"/>
      <c r="B180" s="128"/>
      <c r="C180" s="129"/>
      <c r="D180" s="129"/>
      <c r="E180" s="129"/>
      <c r="F180" s="130"/>
    </row>
    <row r="181" spans="1:6">
      <c r="A181" s="4"/>
      <c r="B181" s="128"/>
      <c r="C181" s="129"/>
      <c r="D181" s="129"/>
      <c r="E181" s="129"/>
      <c r="F181" s="130"/>
    </row>
    <row r="182" spans="1:6">
      <c r="A182" s="4"/>
      <c r="B182" s="128"/>
      <c r="C182" s="129"/>
      <c r="D182" s="129"/>
      <c r="E182" s="129"/>
      <c r="F182" s="130"/>
    </row>
    <row r="183" spans="1:6">
      <c r="A183" s="4"/>
      <c r="B183" s="128"/>
      <c r="C183" s="129"/>
      <c r="D183" s="129"/>
      <c r="E183" s="129"/>
      <c r="F183" s="130"/>
    </row>
    <row r="184" spans="1:6">
      <c r="A184" s="4"/>
      <c r="B184" s="128"/>
      <c r="C184" s="129"/>
      <c r="D184" s="129"/>
      <c r="E184" s="129"/>
      <c r="F184" s="130"/>
    </row>
    <row r="185" spans="1:6">
      <c r="A185" s="4"/>
      <c r="B185" s="128"/>
      <c r="C185" s="129"/>
      <c r="D185" s="129"/>
      <c r="E185" s="129"/>
      <c r="F185" s="130"/>
    </row>
    <row r="186" spans="1:6">
      <c r="A186" s="4"/>
      <c r="B186" s="128"/>
      <c r="C186" s="129"/>
      <c r="D186" s="129"/>
      <c r="E186" s="129"/>
      <c r="F186" s="130"/>
    </row>
    <row r="187" spans="1:6">
      <c r="A187" s="4"/>
      <c r="B187" s="128"/>
      <c r="C187" s="129"/>
      <c r="D187" s="129"/>
      <c r="E187" s="129"/>
      <c r="F187" s="130"/>
    </row>
    <row r="188" spans="1:6">
      <c r="A188" s="4"/>
      <c r="B188" s="128"/>
      <c r="C188" s="129"/>
      <c r="D188" s="129"/>
      <c r="E188" s="129"/>
      <c r="F188" s="130"/>
    </row>
    <row r="189" spans="1:6">
      <c r="A189" s="4"/>
      <c r="B189" s="128"/>
      <c r="C189" s="129"/>
      <c r="D189" s="129"/>
      <c r="E189" s="129"/>
      <c r="F189" s="130"/>
    </row>
    <row r="190" spans="1:6">
      <c r="A190" s="4"/>
      <c r="B190" s="128"/>
      <c r="C190" s="129"/>
      <c r="D190" s="129"/>
      <c r="E190" s="129"/>
      <c r="F190" s="130"/>
    </row>
    <row r="191" spans="1:6">
      <c r="A191" s="4"/>
      <c r="B191" s="128"/>
      <c r="C191" s="129"/>
      <c r="D191" s="129"/>
      <c r="E191" s="129"/>
      <c r="F191" s="130"/>
    </row>
    <row r="192" spans="1:6">
      <c r="A192" s="4"/>
      <c r="B192" s="128"/>
      <c r="C192" s="129"/>
      <c r="D192" s="129"/>
      <c r="E192" s="129"/>
      <c r="F192" s="130"/>
    </row>
    <row r="193" spans="1:6">
      <c r="A193" s="4"/>
      <c r="B193" s="128"/>
      <c r="C193" s="129"/>
      <c r="D193" s="129"/>
      <c r="E193" s="129"/>
      <c r="F193" s="130"/>
    </row>
    <row r="194" spans="1:6">
      <c r="A194" s="4"/>
      <c r="B194" s="128"/>
      <c r="C194" s="129"/>
      <c r="D194" s="129"/>
      <c r="E194" s="129"/>
      <c r="F194" s="130"/>
    </row>
    <row r="195" spans="1:6">
      <c r="A195" s="4"/>
      <c r="B195" s="128"/>
      <c r="C195" s="129"/>
      <c r="D195" s="129"/>
      <c r="E195" s="129"/>
      <c r="F195" s="130"/>
    </row>
    <row r="196" spans="1:6">
      <c r="A196" s="4"/>
      <c r="B196" s="128"/>
      <c r="C196" s="129"/>
      <c r="D196" s="129"/>
      <c r="E196" s="129"/>
      <c r="F196" s="130"/>
    </row>
    <row r="197" spans="1:6">
      <c r="A197" s="4"/>
      <c r="B197" s="128"/>
      <c r="C197" s="129"/>
      <c r="D197" s="129"/>
      <c r="E197" s="129"/>
      <c r="F197" s="130"/>
    </row>
    <row r="198" spans="1:6">
      <c r="A198" s="4"/>
      <c r="B198" s="128"/>
      <c r="C198" s="129"/>
      <c r="D198" s="129"/>
      <c r="E198" s="129"/>
      <c r="F198" s="130"/>
    </row>
    <row r="199" spans="1:6">
      <c r="A199" s="4"/>
      <c r="B199" s="128"/>
      <c r="C199" s="129"/>
      <c r="D199" s="129"/>
      <c r="E199" s="129"/>
      <c r="F199" s="130"/>
    </row>
    <row r="200" spans="1:6">
      <c r="A200" s="4"/>
      <c r="B200" s="128"/>
      <c r="C200" s="129"/>
      <c r="D200" s="129"/>
      <c r="E200" s="129"/>
      <c r="F200" s="130"/>
    </row>
    <row r="201" spans="1:6">
      <c r="A201" s="4"/>
      <c r="B201" s="128"/>
      <c r="C201" s="129"/>
      <c r="D201" s="129"/>
      <c r="E201" s="129"/>
      <c r="F201" s="130"/>
    </row>
    <row r="202" spans="1:6">
      <c r="A202" s="4"/>
      <c r="B202" s="128"/>
      <c r="C202" s="129"/>
      <c r="D202" s="129"/>
      <c r="E202" s="129"/>
      <c r="F202" s="130"/>
    </row>
  </sheetData>
  <mergeCells count="202">
    <mergeCell ref="B199:F199"/>
    <mergeCell ref="B200:F200"/>
    <mergeCell ref="B201:F201"/>
    <mergeCell ref="B202:F202"/>
    <mergeCell ref="B193:F193"/>
    <mergeCell ref="B194:F194"/>
    <mergeCell ref="B195:F195"/>
    <mergeCell ref="B196:F196"/>
    <mergeCell ref="B197:F197"/>
    <mergeCell ref="B198:F198"/>
    <mergeCell ref="B187:F187"/>
    <mergeCell ref="B188:F188"/>
    <mergeCell ref="B189:F189"/>
    <mergeCell ref="B190:F190"/>
    <mergeCell ref="B191:F191"/>
    <mergeCell ref="B192:F192"/>
    <mergeCell ref="B181:F181"/>
    <mergeCell ref="B182:F182"/>
    <mergeCell ref="B183:F183"/>
    <mergeCell ref="B184:F184"/>
    <mergeCell ref="B185:F185"/>
    <mergeCell ref="B186:F186"/>
    <mergeCell ref="B175:F175"/>
    <mergeCell ref="B176:F176"/>
    <mergeCell ref="B177:F177"/>
    <mergeCell ref="B178:F178"/>
    <mergeCell ref="B179:F179"/>
    <mergeCell ref="B180:F180"/>
    <mergeCell ref="B169:F169"/>
    <mergeCell ref="B170:F170"/>
    <mergeCell ref="B171:F171"/>
    <mergeCell ref="B172:F172"/>
    <mergeCell ref="B173:F173"/>
    <mergeCell ref="B174:F174"/>
    <mergeCell ref="B163:F163"/>
    <mergeCell ref="B164:F164"/>
    <mergeCell ref="B165:F165"/>
    <mergeCell ref="B166:F166"/>
    <mergeCell ref="B167:F167"/>
    <mergeCell ref="B168:F168"/>
    <mergeCell ref="B157:F157"/>
    <mergeCell ref="B158:F158"/>
    <mergeCell ref="B159:F159"/>
    <mergeCell ref="B160:F160"/>
    <mergeCell ref="B161:F161"/>
    <mergeCell ref="B162:F162"/>
    <mergeCell ref="B151:F151"/>
    <mergeCell ref="B152:F152"/>
    <mergeCell ref="B153:F153"/>
    <mergeCell ref="B154:F154"/>
    <mergeCell ref="B155:F155"/>
    <mergeCell ref="B156:F156"/>
    <mergeCell ref="B145:F145"/>
    <mergeCell ref="B146:F146"/>
    <mergeCell ref="B147:F147"/>
    <mergeCell ref="B148:F148"/>
    <mergeCell ref="B149:F149"/>
    <mergeCell ref="B150:F150"/>
    <mergeCell ref="B139:F139"/>
    <mergeCell ref="B140:F140"/>
    <mergeCell ref="B141:F141"/>
    <mergeCell ref="B142:F142"/>
    <mergeCell ref="B143:F143"/>
    <mergeCell ref="B144:F144"/>
    <mergeCell ref="B133:F133"/>
    <mergeCell ref="B134:F134"/>
    <mergeCell ref="B135:F135"/>
    <mergeCell ref="B136:F136"/>
    <mergeCell ref="B137:F137"/>
    <mergeCell ref="B138:F138"/>
    <mergeCell ref="B127:F127"/>
    <mergeCell ref="B128:F128"/>
    <mergeCell ref="B129:F129"/>
    <mergeCell ref="B130:F130"/>
    <mergeCell ref="B131:F131"/>
    <mergeCell ref="B132:F132"/>
    <mergeCell ref="B121:F121"/>
    <mergeCell ref="B122:F122"/>
    <mergeCell ref="B123:F123"/>
    <mergeCell ref="B124:F124"/>
    <mergeCell ref="B125:F125"/>
    <mergeCell ref="B126:F126"/>
    <mergeCell ref="B115:F115"/>
    <mergeCell ref="B116:F116"/>
    <mergeCell ref="B117:F117"/>
    <mergeCell ref="B118:F118"/>
    <mergeCell ref="B119:F119"/>
    <mergeCell ref="B120:F120"/>
    <mergeCell ref="B109:F109"/>
    <mergeCell ref="B110:F110"/>
    <mergeCell ref="B111:F111"/>
    <mergeCell ref="B112:F112"/>
    <mergeCell ref="B113:F113"/>
    <mergeCell ref="B114:F114"/>
    <mergeCell ref="B103:F103"/>
    <mergeCell ref="B104:F104"/>
    <mergeCell ref="B105:F105"/>
    <mergeCell ref="B106:F106"/>
    <mergeCell ref="B107:F107"/>
    <mergeCell ref="B108:F108"/>
    <mergeCell ref="B97:F97"/>
    <mergeCell ref="B98:F98"/>
    <mergeCell ref="B99:F99"/>
    <mergeCell ref="B100:F100"/>
    <mergeCell ref="B101:F101"/>
    <mergeCell ref="B102:F102"/>
    <mergeCell ref="B91:F91"/>
    <mergeCell ref="B92:F92"/>
    <mergeCell ref="B93:F93"/>
    <mergeCell ref="B94:F94"/>
    <mergeCell ref="B95:F95"/>
    <mergeCell ref="B96:F96"/>
    <mergeCell ref="B85:F85"/>
    <mergeCell ref="B86:F86"/>
    <mergeCell ref="B87:F87"/>
    <mergeCell ref="B88:F88"/>
    <mergeCell ref="B89:F89"/>
    <mergeCell ref="B90:F90"/>
    <mergeCell ref="B79:F79"/>
    <mergeCell ref="B80:F80"/>
    <mergeCell ref="B81:F81"/>
    <mergeCell ref="B82:F82"/>
    <mergeCell ref="B83:F83"/>
    <mergeCell ref="B84:F84"/>
    <mergeCell ref="B73:F73"/>
    <mergeCell ref="B74:F74"/>
    <mergeCell ref="B75:F75"/>
    <mergeCell ref="B76:F76"/>
    <mergeCell ref="B77:F77"/>
    <mergeCell ref="B78:F78"/>
    <mergeCell ref="B67:F67"/>
    <mergeCell ref="B68:F68"/>
    <mergeCell ref="B69:F69"/>
    <mergeCell ref="B70:F70"/>
    <mergeCell ref="B71:F71"/>
    <mergeCell ref="B72:F72"/>
    <mergeCell ref="B61:F61"/>
    <mergeCell ref="B62:F62"/>
    <mergeCell ref="B63:F63"/>
    <mergeCell ref="B64:F64"/>
    <mergeCell ref="B65:F65"/>
    <mergeCell ref="B66:F66"/>
    <mergeCell ref="B55:F55"/>
    <mergeCell ref="B56:F56"/>
    <mergeCell ref="B57:F57"/>
    <mergeCell ref="B58:F58"/>
    <mergeCell ref="B59:F59"/>
    <mergeCell ref="B60:F60"/>
    <mergeCell ref="B49:F49"/>
    <mergeCell ref="B50:F50"/>
    <mergeCell ref="B51:F51"/>
    <mergeCell ref="B52:F52"/>
    <mergeCell ref="B53:F53"/>
    <mergeCell ref="B54:F54"/>
    <mergeCell ref="B43:F43"/>
    <mergeCell ref="B44:F44"/>
    <mergeCell ref="B45:F45"/>
    <mergeCell ref="B46:F46"/>
    <mergeCell ref="B47:F47"/>
    <mergeCell ref="B48:F48"/>
    <mergeCell ref="B37:F37"/>
    <mergeCell ref="B38:F38"/>
    <mergeCell ref="B39:F39"/>
    <mergeCell ref="B40:F40"/>
    <mergeCell ref="B41:F41"/>
    <mergeCell ref="B42:F42"/>
    <mergeCell ref="B31:F31"/>
    <mergeCell ref="B32:F32"/>
    <mergeCell ref="B33:F33"/>
    <mergeCell ref="B34:F34"/>
    <mergeCell ref="B35:F35"/>
    <mergeCell ref="B36:F36"/>
    <mergeCell ref="B25:F25"/>
    <mergeCell ref="B26:F26"/>
    <mergeCell ref="B27:F27"/>
    <mergeCell ref="B28:F28"/>
    <mergeCell ref="B29:F29"/>
    <mergeCell ref="B30:F30"/>
    <mergeCell ref="B19:F19"/>
    <mergeCell ref="B20:F20"/>
    <mergeCell ref="B21:F21"/>
    <mergeCell ref="B22:F22"/>
    <mergeCell ref="B23:F23"/>
    <mergeCell ref="B24:F24"/>
    <mergeCell ref="B13:F13"/>
    <mergeCell ref="B14:F14"/>
    <mergeCell ref="B15:F15"/>
    <mergeCell ref="B16:F16"/>
    <mergeCell ref="B17:F17"/>
    <mergeCell ref="B18:F18"/>
    <mergeCell ref="B7:F7"/>
    <mergeCell ref="B8:F8"/>
    <mergeCell ref="B9:F9"/>
    <mergeCell ref="B10:F10"/>
    <mergeCell ref="B11:F11"/>
    <mergeCell ref="B12:F12"/>
    <mergeCell ref="A1:F1"/>
    <mergeCell ref="B2:F2"/>
    <mergeCell ref="B3:F3"/>
    <mergeCell ref="B4:F4"/>
    <mergeCell ref="B5:F5"/>
    <mergeCell ref="B6:F6"/>
  </mergeCells>
  <phoneticPr fontId="10" type="noConversion"/>
  <pageMargins left="0.75" right="0.75" top="1" bottom="1" header="0.5" footer="0.5"/>
  <pageSetup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206"/>
  <sheetViews>
    <sheetView workbookViewId="0">
      <selection activeCell="A13" sqref="A13"/>
    </sheetView>
  </sheetViews>
  <sheetFormatPr defaultRowHeight="12.75"/>
  <cols>
    <col min="1" max="1" width="30.85546875" customWidth="1"/>
    <col min="2" max="2" width="12" customWidth="1"/>
    <col min="3" max="3" width="10.5703125" customWidth="1"/>
    <col min="4" max="4" width="10.7109375" customWidth="1"/>
    <col min="5" max="5" width="12.5703125" customWidth="1"/>
    <col min="6" max="6" width="19.42578125" customWidth="1"/>
    <col min="7" max="7" width="22.85546875" customWidth="1"/>
  </cols>
  <sheetData>
    <row r="1" spans="1:7">
      <c r="A1" s="5" t="s">
        <v>102</v>
      </c>
    </row>
    <row r="2" spans="1:7" s="3" customFormat="1" ht="15.75">
      <c r="A2" s="141" t="s">
        <v>58</v>
      </c>
      <c r="B2" s="142"/>
      <c r="C2" s="142"/>
      <c r="D2" s="142"/>
      <c r="E2" s="142"/>
      <c r="F2" s="142"/>
      <c r="G2" s="143"/>
    </row>
    <row r="3" spans="1:7" s="18" customFormat="1" ht="19.5" customHeight="1">
      <c r="A3" s="16" t="s">
        <v>59</v>
      </c>
      <c r="B3" s="7" t="s">
        <v>60</v>
      </c>
      <c r="C3" s="15" t="s">
        <v>61</v>
      </c>
      <c r="D3" s="7" t="s">
        <v>62</v>
      </c>
      <c r="E3" s="15" t="s">
        <v>63</v>
      </c>
      <c r="F3" s="8" t="s">
        <v>64</v>
      </c>
      <c r="G3" s="9" t="s">
        <v>65</v>
      </c>
    </row>
    <row r="4" spans="1:7" s="3" customFormat="1">
      <c r="A4" s="17" t="str">
        <f>IF(BDI_FuncList!$A3= "", "",BDI_FuncList!$A3)</f>
        <v>内部优化,BDI在话单采集控制流增加参加校验</v>
      </c>
      <c r="B4" s="4">
        <v>1</v>
      </c>
      <c r="C4" s="4">
        <v>2</v>
      </c>
      <c r="D4" s="4">
        <v>2</v>
      </c>
      <c r="E4" s="7">
        <f>IF((B4+4*C4+D4)/6 =0,"",(B4+4*C4+D4)/6)</f>
        <v>1.8333333333333333</v>
      </c>
      <c r="F4" s="8">
        <f>IF(E4&lt;&gt;"",((D4-B4)/6)/E4,"")</f>
        <v>9.0909090909090912E-2</v>
      </c>
      <c r="G4" s="10">
        <f>IF(E4="","0",E4)</f>
        <v>1.8333333333333333</v>
      </c>
    </row>
    <row r="5" spans="1:7" s="6" customFormat="1">
      <c r="A5" s="17" t="str">
        <f>IF(BDI_FuncList!$A4= "", "",BDI_FuncList!$A4)</f>
        <v>内部优化（BDI过滤异常话单，避免单节点故障隐患,</v>
      </c>
      <c r="B5" s="4">
        <v>2</v>
      </c>
      <c r="C5" s="4">
        <v>3</v>
      </c>
      <c r="D5" s="4">
        <v>4</v>
      </c>
      <c r="E5" s="7">
        <f t="shared" ref="E5:E68" si="0">IF((B5+4*C5+D5)/6 =0,"",(B5+4*C5+D5)/6)</f>
        <v>3</v>
      </c>
      <c r="F5" s="8">
        <f t="shared" ref="F5:F68" si="1">IF(E5&lt;&gt;"",((D5-B5)/6)/E5,"")</f>
        <v>0.1111111111111111</v>
      </c>
      <c r="G5" s="10">
        <f t="shared" ref="G5:G68" si="2">IF(E5="","0",E5)</f>
        <v>3</v>
      </c>
    </row>
    <row r="6" spans="1:7" s="6" customFormat="1">
      <c r="A6" s="17" t="str">
        <f>IF(BDI_FuncList!$A5= "", "",BDI_FuncList!$A5)</f>
        <v>内部优化（报表每日进度展示）</v>
      </c>
      <c r="B6" s="4">
        <v>1</v>
      </c>
      <c r="C6" s="4">
        <v>2</v>
      </c>
      <c r="D6" s="4">
        <v>2</v>
      </c>
      <c r="E6" s="7">
        <f t="shared" si="0"/>
        <v>1.8333333333333333</v>
      </c>
      <c r="F6" s="8">
        <f t="shared" si="1"/>
        <v>9.0909090909090912E-2</v>
      </c>
      <c r="G6" s="10">
        <f t="shared" si="2"/>
        <v>1.8333333333333333</v>
      </c>
    </row>
    <row r="7" spans="1:7" s="6" customFormat="1">
      <c r="A7" s="17" t="str">
        <f>IF(BDI_FuncList!$A6= "", "",BDI_FuncList!$A6)</f>
        <v xml:space="preserve"> 视频报表队列迁移</v>
      </c>
      <c r="B7" s="4">
        <v>1</v>
      </c>
      <c r="C7" s="4">
        <v>3</v>
      </c>
      <c r="D7" s="4">
        <v>3</v>
      </c>
      <c r="E7" s="7">
        <f t="shared" si="0"/>
        <v>2.6666666666666665</v>
      </c>
      <c r="F7" s="8">
        <f t="shared" si="1"/>
        <v>0.125</v>
      </c>
      <c r="G7" s="10">
        <f t="shared" si="2"/>
        <v>2.6666666666666665</v>
      </c>
    </row>
    <row r="8" spans="1:7">
      <c r="A8" s="17" t="str">
        <f>IF(BDI_FuncList!$A7= "", "",BDI_FuncList!$A7)</f>
        <v>【区分不同客户端的需求】EDP 用户活跃 能区分不同类型终端（Android/iOS/WebTV)</v>
      </c>
      <c r="B8" s="4">
        <v>2</v>
      </c>
      <c r="C8" s="4">
        <v>4</v>
      </c>
      <c r="D8" s="4">
        <v>4</v>
      </c>
      <c r="E8" s="7">
        <f t="shared" si="0"/>
        <v>3.6666666666666665</v>
      </c>
      <c r="F8" s="8">
        <f t="shared" si="1"/>
        <v>9.0909090909090912E-2</v>
      </c>
      <c r="G8" s="10">
        <f t="shared" si="2"/>
        <v>3.6666666666666665</v>
      </c>
    </row>
    <row r="9" spans="1:7">
      <c r="A9" s="17" t="str">
        <f>IF(BDI_FuncList!$A8= "", "",BDI_FuncList!$A8)</f>
        <v/>
      </c>
      <c r="B9" s="4"/>
      <c r="C9" s="4"/>
      <c r="D9" s="4"/>
      <c r="E9" s="7" t="str">
        <f t="shared" si="0"/>
        <v/>
      </c>
      <c r="F9" s="8" t="str">
        <f t="shared" si="1"/>
        <v/>
      </c>
      <c r="G9" s="10" t="str">
        <f t="shared" si="2"/>
        <v>0</v>
      </c>
    </row>
    <row r="10" spans="1:7">
      <c r="A10" s="17" t="str">
        <f>IF(BDI_FuncList!$A9= "", "",BDI_FuncList!$A9)</f>
        <v/>
      </c>
      <c r="B10" s="4"/>
      <c r="C10" s="4"/>
      <c r="D10" s="4"/>
      <c r="E10" s="7" t="str">
        <f t="shared" si="0"/>
        <v/>
      </c>
      <c r="F10" s="8" t="str">
        <f t="shared" si="1"/>
        <v/>
      </c>
      <c r="G10" s="10" t="str">
        <f t="shared" si="2"/>
        <v>0</v>
      </c>
    </row>
    <row r="11" spans="1:7">
      <c r="A11" s="17" t="str">
        <f>IF(BDI_FuncList!$A10= "", "",BDI_FuncList!$A10)</f>
        <v/>
      </c>
      <c r="B11" s="4"/>
      <c r="C11" s="4"/>
      <c r="D11" s="4"/>
      <c r="E11" s="7" t="str">
        <f t="shared" si="0"/>
        <v/>
      </c>
      <c r="F11" s="8" t="str">
        <f t="shared" si="1"/>
        <v/>
      </c>
      <c r="G11" s="10" t="str">
        <f t="shared" si="2"/>
        <v>0</v>
      </c>
    </row>
    <row r="12" spans="1:7">
      <c r="A12" s="17" t="str">
        <f>IF(BDI_FuncList!$A11= "", "",BDI_FuncList!$A11)</f>
        <v/>
      </c>
      <c r="B12" s="4"/>
      <c r="C12" s="4"/>
      <c r="D12" s="4"/>
      <c r="E12" s="7" t="str">
        <f t="shared" si="0"/>
        <v/>
      </c>
      <c r="F12" s="8" t="str">
        <f t="shared" si="1"/>
        <v/>
      </c>
      <c r="G12" s="10" t="str">
        <f t="shared" si="2"/>
        <v>0</v>
      </c>
    </row>
    <row r="13" spans="1:7">
      <c r="A13" s="17" t="str">
        <f>IF(BDI_FuncList!$A12= "", "",BDI_FuncList!$A12)</f>
        <v/>
      </c>
      <c r="B13" s="4"/>
      <c r="C13" s="4"/>
      <c r="D13" s="4"/>
      <c r="E13" s="7" t="str">
        <f t="shared" si="0"/>
        <v/>
      </c>
      <c r="F13" s="8" t="str">
        <f t="shared" si="1"/>
        <v/>
      </c>
      <c r="G13" s="10" t="str">
        <f t="shared" si="2"/>
        <v>0</v>
      </c>
    </row>
    <row r="14" spans="1:7">
      <c r="A14" s="17" t="str">
        <f>IF(BDI_FuncList!$A13= "", "",BDI_FuncList!$A13)</f>
        <v/>
      </c>
      <c r="B14" s="4"/>
      <c r="C14" s="4"/>
      <c r="D14" s="4"/>
      <c r="E14" s="7" t="str">
        <f t="shared" si="0"/>
        <v/>
      </c>
      <c r="F14" s="8" t="str">
        <f t="shared" si="1"/>
        <v/>
      </c>
      <c r="G14" s="10" t="str">
        <f t="shared" si="2"/>
        <v>0</v>
      </c>
    </row>
    <row r="15" spans="1:7">
      <c r="A15" s="17" t="str">
        <f>IF(BDI_FuncList!$A14= "", "",BDI_FuncList!$A14)</f>
        <v/>
      </c>
      <c r="B15" s="4"/>
      <c r="C15" s="4"/>
      <c r="D15" s="4"/>
      <c r="E15" s="7" t="str">
        <f t="shared" si="0"/>
        <v/>
      </c>
      <c r="F15" s="8" t="str">
        <f t="shared" si="1"/>
        <v/>
      </c>
      <c r="G15" s="10" t="str">
        <f t="shared" si="2"/>
        <v>0</v>
      </c>
    </row>
    <row r="16" spans="1:7">
      <c r="A16" s="17" t="str">
        <f>IF(BDI_FuncList!$A15= "", "",BDI_FuncList!$A15)</f>
        <v/>
      </c>
      <c r="B16" s="4"/>
      <c r="C16" s="4"/>
      <c r="D16" s="4"/>
      <c r="E16" s="7" t="str">
        <f t="shared" si="0"/>
        <v/>
      </c>
      <c r="F16" s="8" t="str">
        <f t="shared" si="1"/>
        <v/>
      </c>
      <c r="G16" s="10" t="str">
        <f t="shared" si="2"/>
        <v>0</v>
      </c>
    </row>
    <row r="17" spans="1:7">
      <c r="A17" s="17" t="str">
        <f>IF(BDI_FuncList!$A16= "", "",BDI_FuncList!$A16)</f>
        <v/>
      </c>
      <c r="B17" s="4"/>
      <c r="C17" s="4"/>
      <c r="D17" s="4"/>
      <c r="E17" s="7" t="str">
        <f t="shared" si="0"/>
        <v/>
      </c>
      <c r="F17" s="8" t="str">
        <f t="shared" si="1"/>
        <v/>
      </c>
      <c r="G17" s="10" t="str">
        <f t="shared" si="2"/>
        <v>0</v>
      </c>
    </row>
    <row r="18" spans="1:7">
      <c r="A18" s="17" t="str">
        <f>IF(BDI_FuncList!$A17= "", "",BDI_FuncList!$A17)</f>
        <v/>
      </c>
      <c r="B18" s="4"/>
      <c r="C18" s="4"/>
      <c r="D18" s="4"/>
      <c r="E18" s="7" t="str">
        <f t="shared" si="0"/>
        <v/>
      </c>
      <c r="F18" s="8" t="str">
        <f t="shared" si="1"/>
        <v/>
      </c>
      <c r="G18" s="10" t="str">
        <f t="shared" si="2"/>
        <v>0</v>
      </c>
    </row>
    <row r="19" spans="1:7">
      <c r="A19" s="17" t="str">
        <f>IF(BDI_FuncList!$A18= "", "",BDI_FuncList!$A18)</f>
        <v/>
      </c>
      <c r="B19" s="4"/>
      <c r="C19" s="4"/>
      <c r="D19" s="4"/>
      <c r="E19" s="7" t="str">
        <f t="shared" si="0"/>
        <v/>
      </c>
      <c r="F19" s="8" t="str">
        <f t="shared" si="1"/>
        <v/>
      </c>
      <c r="G19" s="10" t="str">
        <f t="shared" si="2"/>
        <v>0</v>
      </c>
    </row>
    <row r="20" spans="1:7">
      <c r="A20" s="17" t="str">
        <f>IF(BDI_FuncList!$A19= "", "",BDI_FuncList!$A19)</f>
        <v/>
      </c>
      <c r="B20" s="4"/>
      <c r="C20" s="4"/>
      <c r="D20" s="4"/>
      <c r="E20" s="7" t="str">
        <f t="shared" si="0"/>
        <v/>
      </c>
      <c r="F20" s="8" t="str">
        <f t="shared" si="1"/>
        <v/>
      </c>
      <c r="G20" s="10" t="str">
        <f t="shared" si="2"/>
        <v>0</v>
      </c>
    </row>
    <row r="21" spans="1:7">
      <c r="A21" s="17" t="str">
        <f>IF(BDI_FuncList!$A20= "", "",BDI_FuncList!$A20)</f>
        <v/>
      </c>
      <c r="B21" s="4"/>
      <c r="C21" s="4"/>
      <c r="D21" s="4"/>
      <c r="E21" s="7" t="str">
        <f t="shared" si="0"/>
        <v/>
      </c>
      <c r="F21" s="8" t="str">
        <f t="shared" si="1"/>
        <v/>
      </c>
      <c r="G21" s="10" t="str">
        <f t="shared" si="2"/>
        <v>0</v>
      </c>
    </row>
    <row r="22" spans="1:7">
      <c r="A22" s="17" t="str">
        <f>IF(BDI_FuncList!$A21= "", "",BDI_FuncList!$A21)</f>
        <v/>
      </c>
      <c r="B22" s="4"/>
      <c r="C22" s="4"/>
      <c r="D22" s="4"/>
      <c r="E22" s="7" t="str">
        <f t="shared" si="0"/>
        <v/>
      </c>
      <c r="F22" s="8" t="str">
        <f t="shared" si="1"/>
        <v/>
      </c>
      <c r="G22" s="10" t="str">
        <f t="shared" si="2"/>
        <v>0</v>
      </c>
    </row>
    <row r="23" spans="1:7">
      <c r="A23" s="17" t="str">
        <f>IF(BDI_FuncList!$A22= "", "",BDI_FuncList!$A22)</f>
        <v/>
      </c>
      <c r="B23" s="4"/>
      <c r="C23" s="4"/>
      <c r="D23" s="4"/>
      <c r="E23" s="7" t="str">
        <f t="shared" si="0"/>
        <v/>
      </c>
      <c r="F23" s="8" t="str">
        <f t="shared" si="1"/>
        <v/>
      </c>
      <c r="G23" s="10" t="str">
        <f t="shared" si="2"/>
        <v>0</v>
      </c>
    </row>
    <row r="24" spans="1:7">
      <c r="A24" s="17" t="str">
        <f>IF(BDI_FuncList!$A23= "", "",BDI_FuncList!$A23)</f>
        <v/>
      </c>
      <c r="B24" s="4"/>
      <c r="C24" s="4"/>
      <c r="D24" s="4"/>
      <c r="E24" s="7" t="str">
        <f t="shared" si="0"/>
        <v/>
      </c>
      <c r="F24" s="8" t="str">
        <f t="shared" si="1"/>
        <v/>
      </c>
      <c r="G24" s="10" t="str">
        <f t="shared" si="2"/>
        <v>0</v>
      </c>
    </row>
    <row r="25" spans="1:7">
      <c r="A25" s="17" t="str">
        <f>IF(BDI_FuncList!$A24= "", "",BDI_FuncList!$A24)</f>
        <v/>
      </c>
      <c r="B25" s="4"/>
      <c r="C25" s="4"/>
      <c r="D25" s="4"/>
      <c r="E25" s="7" t="str">
        <f t="shared" si="0"/>
        <v/>
      </c>
      <c r="F25" s="8" t="str">
        <f t="shared" si="1"/>
        <v/>
      </c>
      <c r="G25" s="10" t="str">
        <f t="shared" si="2"/>
        <v>0</v>
      </c>
    </row>
    <row r="26" spans="1:7">
      <c r="A26" s="17" t="str">
        <f>IF(BDI_FuncList!$A25= "", "",BDI_FuncList!$A25)</f>
        <v/>
      </c>
      <c r="B26" s="4"/>
      <c r="C26" s="4"/>
      <c r="D26" s="4"/>
      <c r="E26" s="7" t="str">
        <f t="shared" si="0"/>
        <v/>
      </c>
      <c r="F26" s="8" t="str">
        <f t="shared" si="1"/>
        <v/>
      </c>
      <c r="G26" s="10" t="str">
        <f t="shared" si="2"/>
        <v>0</v>
      </c>
    </row>
    <row r="27" spans="1:7">
      <c r="A27" s="17" t="str">
        <f>IF(BDI_FuncList!$A26= "", "",BDI_FuncList!$A26)</f>
        <v/>
      </c>
      <c r="B27" s="4"/>
      <c r="C27" s="4"/>
      <c r="D27" s="4"/>
      <c r="E27" s="7" t="str">
        <f t="shared" si="0"/>
        <v/>
      </c>
      <c r="F27" s="8" t="str">
        <f t="shared" si="1"/>
        <v/>
      </c>
      <c r="G27" s="10" t="str">
        <f t="shared" si="2"/>
        <v>0</v>
      </c>
    </row>
    <row r="28" spans="1:7">
      <c r="A28" s="17" t="str">
        <f>IF(BDI_FuncList!$A27= "", "",BDI_FuncList!$A27)</f>
        <v/>
      </c>
      <c r="B28" s="4"/>
      <c r="C28" s="4"/>
      <c r="D28" s="4"/>
      <c r="E28" s="7" t="str">
        <f t="shared" si="0"/>
        <v/>
      </c>
      <c r="F28" s="8" t="str">
        <f t="shared" si="1"/>
        <v/>
      </c>
      <c r="G28" s="10" t="str">
        <f t="shared" si="2"/>
        <v>0</v>
      </c>
    </row>
    <row r="29" spans="1:7">
      <c r="A29" s="17" t="str">
        <f>IF(BDI_FuncList!$A28= "", "",BDI_FuncList!$A28)</f>
        <v/>
      </c>
      <c r="B29" s="4"/>
      <c r="C29" s="4"/>
      <c r="D29" s="4"/>
      <c r="E29" s="7" t="str">
        <f t="shared" si="0"/>
        <v/>
      </c>
      <c r="F29" s="8" t="str">
        <f t="shared" si="1"/>
        <v/>
      </c>
      <c r="G29" s="10" t="str">
        <f t="shared" si="2"/>
        <v>0</v>
      </c>
    </row>
    <row r="30" spans="1:7">
      <c r="A30" s="17" t="str">
        <f>IF(BDI_FuncList!$A29= "", "",BDI_FuncList!$A29)</f>
        <v/>
      </c>
      <c r="B30" s="4"/>
      <c r="C30" s="4"/>
      <c r="D30" s="4"/>
      <c r="E30" s="7" t="str">
        <f t="shared" si="0"/>
        <v/>
      </c>
      <c r="F30" s="8" t="str">
        <f t="shared" si="1"/>
        <v/>
      </c>
      <c r="G30" s="10" t="str">
        <f t="shared" si="2"/>
        <v>0</v>
      </c>
    </row>
    <row r="31" spans="1:7">
      <c r="A31" s="17" t="str">
        <f>IF(BDI_FuncList!$A30= "", "",BDI_FuncList!$A30)</f>
        <v/>
      </c>
      <c r="B31" s="4"/>
      <c r="C31" s="4"/>
      <c r="D31" s="4"/>
      <c r="E31" s="7" t="str">
        <f t="shared" si="0"/>
        <v/>
      </c>
      <c r="F31" s="8" t="str">
        <f t="shared" si="1"/>
        <v/>
      </c>
      <c r="G31" s="10" t="str">
        <f t="shared" si="2"/>
        <v>0</v>
      </c>
    </row>
    <row r="32" spans="1:7">
      <c r="A32" s="17" t="str">
        <f>IF(BDI_FuncList!$A31= "", "",BDI_FuncList!$A31)</f>
        <v/>
      </c>
      <c r="B32" s="4"/>
      <c r="C32" s="4"/>
      <c r="D32" s="4"/>
      <c r="E32" s="7" t="str">
        <f t="shared" si="0"/>
        <v/>
      </c>
      <c r="F32" s="8" t="str">
        <f t="shared" si="1"/>
        <v/>
      </c>
      <c r="G32" s="10" t="str">
        <f t="shared" si="2"/>
        <v>0</v>
      </c>
    </row>
    <row r="33" spans="1:7">
      <c r="A33" s="17" t="str">
        <f>IF(BDI_FuncList!$A32= "", "",BDI_FuncList!$A32)</f>
        <v/>
      </c>
      <c r="B33" s="4"/>
      <c r="C33" s="4"/>
      <c r="D33" s="4"/>
      <c r="E33" s="7" t="str">
        <f t="shared" si="0"/>
        <v/>
      </c>
      <c r="F33" s="8" t="str">
        <f t="shared" si="1"/>
        <v/>
      </c>
      <c r="G33" s="10" t="str">
        <f t="shared" si="2"/>
        <v>0</v>
      </c>
    </row>
    <row r="34" spans="1:7">
      <c r="A34" s="17" t="str">
        <f>IF(BDI_FuncList!$A33= "", "",BDI_FuncList!$A33)</f>
        <v/>
      </c>
      <c r="B34" s="4"/>
      <c r="C34" s="4"/>
      <c r="D34" s="4"/>
      <c r="E34" s="7" t="str">
        <f t="shared" si="0"/>
        <v/>
      </c>
      <c r="F34" s="8" t="str">
        <f t="shared" si="1"/>
        <v/>
      </c>
      <c r="G34" s="10" t="str">
        <f t="shared" si="2"/>
        <v>0</v>
      </c>
    </row>
    <row r="35" spans="1:7">
      <c r="A35" s="17" t="str">
        <f>IF(BDI_FuncList!$A34= "", "",BDI_FuncList!$A34)</f>
        <v/>
      </c>
      <c r="B35" s="4"/>
      <c r="C35" s="4"/>
      <c r="D35" s="4"/>
      <c r="E35" s="7" t="str">
        <f t="shared" si="0"/>
        <v/>
      </c>
      <c r="F35" s="8" t="str">
        <f t="shared" si="1"/>
        <v/>
      </c>
      <c r="G35" s="10" t="str">
        <f t="shared" si="2"/>
        <v>0</v>
      </c>
    </row>
    <row r="36" spans="1:7">
      <c r="A36" s="17" t="str">
        <f>IF(BDI_FuncList!$A35= "", "",BDI_FuncList!$A35)</f>
        <v/>
      </c>
      <c r="B36" s="4"/>
      <c r="C36" s="4"/>
      <c r="D36" s="4"/>
      <c r="E36" s="7" t="str">
        <f t="shared" si="0"/>
        <v/>
      </c>
      <c r="F36" s="8" t="str">
        <f t="shared" si="1"/>
        <v/>
      </c>
      <c r="G36" s="10" t="str">
        <f t="shared" si="2"/>
        <v>0</v>
      </c>
    </row>
    <row r="37" spans="1:7">
      <c r="A37" s="17" t="str">
        <f>IF(BDI_FuncList!$A36= "", "",BDI_FuncList!$A36)</f>
        <v/>
      </c>
      <c r="B37" s="4"/>
      <c r="C37" s="4"/>
      <c r="D37" s="4"/>
      <c r="E37" s="7" t="str">
        <f t="shared" si="0"/>
        <v/>
      </c>
      <c r="F37" s="8" t="str">
        <f t="shared" si="1"/>
        <v/>
      </c>
      <c r="G37" s="10" t="str">
        <f t="shared" si="2"/>
        <v>0</v>
      </c>
    </row>
    <row r="38" spans="1:7">
      <c r="A38" s="17" t="str">
        <f>IF(BDI_FuncList!$A37= "", "",BDI_FuncList!$A37)</f>
        <v/>
      </c>
      <c r="B38" s="4"/>
      <c r="C38" s="4"/>
      <c r="D38" s="4"/>
      <c r="E38" s="7" t="str">
        <f t="shared" si="0"/>
        <v/>
      </c>
      <c r="F38" s="8" t="str">
        <f t="shared" si="1"/>
        <v/>
      </c>
      <c r="G38" s="10" t="str">
        <f t="shared" si="2"/>
        <v>0</v>
      </c>
    </row>
    <row r="39" spans="1:7">
      <c r="A39" s="17" t="str">
        <f>IF(BDI_FuncList!$A38= "", "",BDI_FuncList!$A38)</f>
        <v/>
      </c>
      <c r="B39" s="4"/>
      <c r="C39" s="4"/>
      <c r="D39" s="4"/>
      <c r="E39" s="7" t="str">
        <f t="shared" si="0"/>
        <v/>
      </c>
      <c r="F39" s="8" t="str">
        <f t="shared" si="1"/>
        <v/>
      </c>
      <c r="G39" s="10" t="str">
        <f t="shared" si="2"/>
        <v>0</v>
      </c>
    </row>
    <row r="40" spans="1:7">
      <c r="A40" s="17" t="str">
        <f>IF(BDI_FuncList!$A39= "", "",BDI_FuncList!$A39)</f>
        <v/>
      </c>
      <c r="B40" s="4"/>
      <c r="C40" s="4"/>
      <c r="D40" s="4"/>
      <c r="E40" s="7" t="str">
        <f t="shared" si="0"/>
        <v/>
      </c>
      <c r="F40" s="8" t="str">
        <f t="shared" si="1"/>
        <v/>
      </c>
      <c r="G40" s="10" t="str">
        <f t="shared" si="2"/>
        <v>0</v>
      </c>
    </row>
    <row r="41" spans="1:7">
      <c r="A41" s="17" t="str">
        <f>IF(BDI_FuncList!$A40= "", "",BDI_FuncList!$A40)</f>
        <v/>
      </c>
      <c r="B41" s="4"/>
      <c r="C41" s="4"/>
      <c r="D41" s="4"/>
      <c r="E41" s="7" t="str">
        <f t="shared" si="0"/>
        <v/>
      </c>
      <c r="F41" s="8" t="str">
        <f t="shared" si="1"/>
        <v/>
      </c>
      <c r="G41" s="10" t="str">
        <f t="shared" si="2"/>
        <v>0</v>
      </c>
    </row>
    <row r="42" spans="1:7">
      <c r="A42" s="17" t="str">
        <f>IF(BDI_FuncList!$A41= "", "",BDI_FuncList!$A41)</f>
        <v/>
      </c>
      <c r="B42" s="4"/>
      <c r="C42" s="4"/>
      <c r="D42" s="4"/>
      <c r="E42" s="7" t="str">
        <f t="shared" si="0"/>
        <v/>
      </c>
      <c r="F42" s="8" t="str">
        <f t="shared" si="1"/>
        <v/>
      </c>
      <c r="G42" s="10" t="str">
        <f t="shared" si="2"/>
        <v>0</v>
      </c>
    </row>
    <row r="43" spans="1:7">
      <c r="A43" s="17" t="str">
        <f>IF(BDI_FuncList!$A42= "", "",BDI_FuncList!$A42)</f>
        <v/>
      </c>
      <c r="B43" s="4"/>
      <c r="C43" s="4"/>
      <c r="D43" s="4"/>
      <c r="E43" s="7" t="str">
        <f t="shared" si="0"/>
        <v/>
      </c>
      <c r="F43" s="8" t="str">
        <f t="shared" si="1"/>
        <v/>
      </c>
      <c r="G43" s="10" t="str">
        <f t="shared" si="2"/>
        <v>0</v>
      </c>
    </row>
    <row r="44" spans="1:7">
      <c r="A44" s="17" t="str">
        <f>IF(BDI_FuncList!$A43= "", "",BDI_FuncList!$A43)</f>
        <v/>
      </c>
      <c r="B44" s="4"/>
      <c r="C44" s="4"/>
      <c r="D44" s="4"/>
      <c r="E44" s="7" t="str">
        <f t="shared" si="0"/>
        <v/>
      </c>
      <c r="F44" s="8" t="str">
        <f t="shared" si="1"/>
        <v/>
      </c>
      <c r="G44" s="10" t="str">
        <f t="shared" si="2"/>
        <v>0</v>
      </c>
    </row>
    <row r="45" spans="1:7">
      <c r="A45" s="17" t="str">
        <f>IF(BDI_FuncList!$A44= "", "",BDI_FuncList!$A44)</f>
        <v/>
      </c>
      <c r="B45" s="4"/>
      <c r="C45" s="4"/>
      <c r="D45" s="4"/>
      <c r="E45" s="7" t="str">
        <f t="shared" si="0"/>
        <v/>
      </c>
      <c r="F45" s="8" t="str">
        <f t="shared" si="1"/>
        <v/>
      </c>
      <c r="G45" s="10" t="str">
        <f t="shared" si="2"/>
        <v>0</v>
      </c>
    </row>
    <row r="46" spans="1:7">
      <c r="A46" s="17" t="str">
        <f>IF(BDI_FuncList!$A45= "", "",BDI_FuncList!$A45)</f>
        <v/>
      </c>
      <c r="B46" s="4"/>
      <c r="C46" s="4"/>
      <c r="D46" s="4"/>
      <c r="E46" s="7" t="str">
        <f t="shared" si="0"/>
        <v/>
      </c>
      <c r="F46" s="8" t="str">
        <f t="shared" si="1"/>
        <v/>
      </c>
      <c r="G46" s="10" t="str">
        <f t="shared" si="2"/>
        <v>0</v>
      </c>
    </row>
    <row r="47" spans="1:7">
      <c r="A47" s="17" t="str">
        <f>IF(BDI_FuncList!$A46= "", "",BDI_FuncList!$A46)</f>
        <v/>
      </c>
      <c r="B47" s="4"/>
      <c r="C47" s="4"/>
      <c r="D47" s="4"/>
      <c r="E47" s="7" t="str">
        <f t="shared" si="0"/>
        <v/>
      </c>
      <c r="F47" s="8" t="str">
        <f t="shared" si="1"/>
        <v/>
      </c>
      <c r="G47" s="10" t="str">
        <f t="shared" si="2"/>
        <v>0</v>
      </c>
    </row>
    <row r="48" spans="1:7">
      <c r="A48" s="17" t="str">
        <f>IF(BDI_FuncList!$A47= "", "",BDI_FuncList!$A47)</f>
        <v/>
      </c>
      <c r="B48" s="4"/>
      <c r="C48" s="4"/>
      <c r="D48" s="4"/>
      <c r="E48" s="7" t="str">
        <f t="shared" si="0"/>
        <v/>
      </c>
      <c r="F48" s="8" t="str">
        <f t="shared" si="1"/>
        <v/>
      </c>
      <c r="G48" s="10" t="str">
        <f t="shared" si="2"/>
        <v>0</v>
      </c>
    </row>
    <row r="49" spans="1:7">
      <c r="A49" s="17" t="str">
        <f>IF(BDI_FuncList!$A48= "", "",BDI_FuncList!$A48)</f>
        <v/>
      </c>
      <c r="B49" s="4"/>
      <c r="C49" s="4"/>
      <c r="D49" s="4"/>
      <c r="E49" s="7" t="str">
        <f t="shared" si="0"/>
        <v/>
      </c>
      <c r="F49" s="8" t="str">
        <f t="shared" si="1"/>
        <v/>
      </c>
      <c r="G49" s="10" t="str">
        <f t="shared" si="2"/>
        <v>0</v>
      </c>
    </row>
    <row r="50" spans="1:7">
      <c r="A50" s="17" t="str">
        <f>IF(BDI_FuncList!$A49= "", "",BDI_FuncList!$A49)</f>
        <v/>
      </c>
      <c r="B50" s="4"/>
      <c r="C50" s="4"/>
      <c r="D50" s="4"/>
      <c r="E50" s="7" t="str">
        <f t="shared" si="0"/>
        <v/>
      </c>
      <c r="F50" s="8" t="str">
        <f t="shared" si="1"/>
        <v/>
      </c>
      <c r="G50" s="10" t="str">
        <f t="shared" si="2"/>
        <v>0</v>
      </c>
    </row>
    <row r="51" spans="1:7">
      <c r="A51" s="17" t="str">
        <f>IF(BDI_FuncList!$A50= "", "",BDI_FuncList!$A50)</f>
        <v/>
      </c>
      <c r="B51" s="4"/>
      <c r="C51" s="4"/>
      <c r="D51" s="4"/>
      <c r="E51" s="7" t="str">
        <f t="shared" si="0"/>
        <v/>
      </c>
      <c r="F51" s="8" t="str">
        <f t="shared" si="1"/>
        <v/>
      </c>
      <c r="G51" s="10" t="str">
        <f t="shared" si="2"/>
        <v>0</v>
      </c>
    </row>
    <row r="52" spans="1:7">
      <c r="A52" s="17" t="str">
        <f>IF(BDI_FuncList!$A51= "", "",BDI_FuncList!$A51)</f>
        <v/>
      </c>
      <c r="B52" s="4"/>
      <c r="C52" s="4"/>
      <c r="D52" s="4"/>
      <c r="E52" s="7" t="str">
        <f t="shared" si="0"/>
        <v/>
      </c>
      <c r="F52" s="8" t="str">
        <f t="shared" si="1"/>
        <v/>
      </c>
      <c r="G52" s="10" t="str">
        <f t="shared" si="2"/>
        <v>0</v>
      </c>
    </row>
    <row r="53" spans="1:7">
      <c r="A53" s="17" t="str">
        <f>IF(BDI_FuncList!$A52= "", "",BDI_FuncList!$A52)</f>
        <v/>
      </c>
      <c r="B53" s="4"/>
      <c r="C53" s="4"/>
      <c r="D53" s="4"/>
      <c r="E53" s="7" t="str">
        <f t="shared" si="0"/>
        <v/>
      </c>
      <c r="F53" s="8" t="str">
        <f t="shared" si="1"/>
        <v/>
      </c>
      <c r="G53" s="10" t="str">
        <f t="shared" si="2"/>
        <v>0</v>
      </c>
    </row>
    <row r="54" spans="1:7">
      <c r="A54" s="17" t="str">
        <f>IF(BDI_FuncList!$A53= "", "",BDI_FuncList!$A53)</f>
        <v/>
      </c>
      <c r="B54" s="4"/>
      <c r="C54" s="4"/>
      <c r="D54" s="4"/>
      <c r="E54" s="7" t="str">
        <f t="shared" si="0"/>
        <v/>
      </c>
      <c r="F54" s="8" t="str">
        <f t="shared" si="1"/>
        <v/>
      </c>
      <c r="G54" s="10" t="str">
        <f t="shared" si="2"/>
        <v>0</v>
      </c>
    </row>
    <row r="55" spans="1:7">
      <c r="A55" s="17" t="str">
        <f>IF(BDI_FuncList!$A54= "", "",BDI_FuncList!$A54)</f>
        <v/>
      </c>
      <c r="B55" s="4"/>
      <c r="C55" s="4"/>
      <c r="D55" s="4"/>
      <c r="E55" s="7" t="str">
        <f t="shared" si="0"/>
        <v/>
      </c>
      <c r="F55" s="8" t="str">
        <f t="shared" si="1"/>
        <v/>
      </c>
      <c r="G55" s="10" t="str">
        <f t="shared" si="2"/>
        <v>0</v>
      </c>
    </row>
    <row r="56" spans="1:7">
      <c r="A56" s="17" t="str">
        <f>IF(BDI_FuncList!$A55= "", "",BDI_FuncList!$A55)</f>
        <v/>
      </c>
      <c r="B56" s="4"/>
      <c r="C56" s="4"/>
      <c r="D56" s="4"/>
      <c r="E56" s="7" t="str">
        <f t="shared" si="0"/>
        <v/>
      </c>
      <c r="F56" s="8" t="str">
        <f t="shared" si="1"/>
        <v/>
      </c>
      <c r="G56" s="10" t="str">
        <f t="shared" si="2"/>
        <v>0</v>
      </c>
    </row>
    <row r="57" spans="1:7">
      <c r="A57" s="17" t="str">
        <f>IF(BDI_FuncList!$A56= "", "",BDI_FuncList!$A56)</f>
        <v/>
      </c>
      <c r="B57" s="4"/>
      <c r="C57" s="4"/>
      <c r="D57" s="4"/>
      <c r="E57" s="7" t="str">
        <f t="shared" si="0"/>
        <v/>
      </c>
      <c r="F57" s="8" t="str">
        <f t="shared" si="1"/>
        <v/>
      </c>
      <c r="G57" s="10" t="str">
        <f t="shared" si="2"/>
        <v>0</v>
      </c>
    </row>
    <row r="58" spans="1:7">
      <c r="A58" s="17" t="str">
        <f>IF(BDI_FuncList!$A57= "", "",BDI_FuncList!$A57)</f>
        <v/>
      </c>
      <c r="B58" s="4"/>
      <c r="C58" s="4"/>
      <c r="D58" s="4"/>
      <c r="E58" s="7" t="str">
        <f t="shared" si="0"/>
        <v/>
      </c>
      <c r="F58" s="8" t="str">
        <f t="shared" si="1"/>
        <v/>
      </c>
      <c r="G58" s="10" t="str">
        <f t="shared" si="2"/>
        <v>0</v>
      </c>
    </row>
    <row r="59" spans="1:7">
      <c r="A59" s="17" t="str">
        <f>IF(BDI_FuncList!$A58= "", "",BDI_FuncList!$A58)</f>
        <v/>
      </c>
      <c r="B59" s="4"/>
      <c r="C59" s="4"/>
      <c r="D59" s="4"/>
      <c r="E59" s="7" t="str">
        <f t="shared" si="0"/>
        <v/>
      </c>
      <c r="F59" s="8" t="str">
        <f t="shared" si="1"/>
        <v/>
      </c>
      <c r="G59" s="10" t="str">
        <f t="shared" si="2"/>
        <v>0</v>
      </c>
    </row>
    <row r="60" spans="1:7">
      <c r="A60" s="17" t="str">
        <f>IF(BDI_FuncList!$A59= "", "",BDI_FuncList!$A59)</f>
        <v/>
      </c>
      <c r="B60" s="4"/>
      <c r="C60" s="4"/>
      <c r="D60" s="4"/>
      <c r="E60" s="7" t="str">
        <f t="shared" si="0"/>
        <v/>
      </c>
      <c r="F60" s="8" t="str">
        <f t="shared" si="1"/>
        <v/>
      </c>
      <c r="G60" s="10" t="str">
        <f t="shared" si="2"/>
        <v>0</v>
      </c>
    </row>
    <row r="61" spans="1:7">
      <c r="A61" s="17" t="str">
        <f>IF(BDI_FuncList!$A60= "", "",BDI_FuncList!$A60)</f>
        <v/>
      </c>
      <c r="B61" s="4"/>
      <c r="C61" s="4"/>
      <c r="D61" s="4"/>
      <c r="E61" s="7" t="str">
        <f t="shared" si="0"/>
        <v/>
      </c>
      <c r="F61" s="8" t="str">
        <f t="shared" si="1"/>
        <v/>
      </c>
      <c r="G61" s="10" t="str">
        <f t="shared" si="2"/>
        <v>0</v>
      </c>
    </row>
    <row r="62" spans="1:7">
      <c r="A62" s="17" t="str">
        <f>IF(BDI_FuncList!$A61= "", "",BDI_FuncList!$A61)</f>
        <v/>
      </c>
      <c r="B62" s="4"/>
      <c r="C62" s="4"/>
      <c r="D62" s="4"/>
      <c r="E62" s="7" t="str">
        <f t="shared" si="0"/>
        <v/>
      </c>
      <c r="F62" s="8" t="str">
        <f t="shared" si="1"/>
        <v/>
      </c>
      <c r="G62" s="10" t="str">
        <f t="shared" si="2"/>
        <v>0</v>
      </c>
    </row>
    <row r="63" spans="1:7">
      <c r="A63" s="17" t="str">
        <f>IF(BDI_FuncList!$A62= "", "",BDI_FuncList!$A62)</f>
        <v/>
      </c>
      <c r="B63" s="4"/>
      <c r="C63" s="4"/>
      <c r="D63" s="4"/>
      <c r="E63" s="7" t="str">
        <f t="shared" si="0"/>
        <v/>
      </c>
      <c r="F63" s="8" t="str">
        <f t="shared" si="1"/>
        <v/>
      </c>
      <c r="G63" s="10" t="str">
        <f t="shared" si="2"/>
        <v>0</v>
      </c>
    </row>
    <row r="64" spans="1:7">
      <c r="A64" s="17" t="str">
        <f>IF(BDI_FuncList!$A63= "", "",BDI_FuncList!$A63)</f>
        <v/>
      </c>
      <c r="B64" s="4"/>
      <c r="C64" s="4"/>
      <c r="D64" s="4"/>
      <c r="E64" s="7" t="str">
        <f t="shared" si="0"/>
        <v/>
      </c>
      <c r="F64" s="8" t="str">
        <f t="shared" si="1"/>
        <v/>
      </c>
      <c r="G64" s="10" t="str">
        <f t="shared" si="2"/>
        <v>0</v>
      </c>
    </row>
    <row r="65" spans="1:7">
      <c r="A65" s="17" t="str">
        <f>IF(BDI_FuncList!$A64= "", "",BDI_FuncList!$A64)</f>
        <v/>
      </c>
      <c r="B65" s="4"/>
      <c r="C65" s="4"/>
      <c r="D65" s="4"/>
      <c r="E65" s="7" t="str">
        <f t="shared" si="0"/>
        <v/>
      </c>
      <c r="F65" s="8" t="str">
        <f t="shared" si="1"/>
        <v/>
      </c>
      <c r="G65" s="10" t="str">
        <f t="shared" si="2"/>
        <v>0</v>
      </c>
    </row>
    <row r="66" spans="1:7">
      <c r="A66" s="17" t="str">
        <f>IF(BDI_FuncList!$A65= "", "",BDI_FuncList!$A65)</f>
        <v/>
      </c>
      <c r="B66" s="4"/>
      <c r="C66" s="4"/>
      <c r="D66" s="4"/>
      <c r="E66" s="7" t="str">
        <f t="shared" si="0"/>
        <v/>
      </c>
      <c r="F66" s="8" t="str">
        <f t="shared" si="1"/>
        <v/>
      </c>
      <c r="G66" s="10" t="str">
        <f t="shared" si="2"/>
        <v>0</v>
      </c>
    </row>
    <row r="67" spans="1:7">
      <c r="A67" s="17" t="str">
        <f>IF(BDI_FuncList!$A66= "", "",BDI_FuncList!$A66)</f>
        <v/>
      </c>
      <c r="B67" s="4"/>
      <c r="C67" s="4"/>
      <c r="D67" s="4"/>
      <c r="E67" s="7" t="str">
        <f t="shared" si="0"/>
        <v/>
      </c>
      <c r="F67" s="8" t="str">
        <f t="shared" si="1"/>
        <v/>
      </c>
      <c r="G67" s="10" t="str">
        <f t="shared" si="2"/>
        <v>0</v>
      </c>
    </row>
    <row r="68" spans="1:7">
      <c r="A68" s="17" t="str">
        <f>IF(BDI_FuncList!$A67= "", "",BDI_FuncList!$A67)</f>
        <v/>
      </c>
      <c r="B68" s="4"/>
      <c r="C68" s="4"/>
      <c r="D68" s="4"/>
      <c r="E68" s="7" t="str">
        <f t="shared" si="0"/>
        <v/>
      </c>
      <c r="F68" s="8" t="str">
        <f t="shared" si="1"/>
        <v/>
      </c>
      <c r="G68" s="10" t="str">
        <f t="shared" si="2"/>
        <v>0</v>
      </c>
    </row>
    <row r="69" spans="1:7">
      <c r="A69" s="17" t="str">
        <f>IF(BDI_FuncList!$A68= "", "",BDI_FuncList!$A68)</f>
        <v/>
      </c>
      <c r="B69" s="4"/>
      <c r="C69" s="4"/>
      <c r="D69" s="4"/>
      <c r="E69" s="7" t="str">
        <f t="shared" ref="E69:E132" si="3">IF((B69+4*C69+D69)/6 =0,"",(B69+4*C69+D69)/6)</f>
        <v/>
      </c>
      <c r="F69" s="8" t="str">
        <f t="shared" ref="F69:F132" si="4">IF(E69&lt;&gt;"",((D69-B69)/6)/E69,"")</f>
        <v/>
      </c>
      <c r="G69" s="10" t="str">
        <f t="shared" ref="G69:G132" si="5">IF(E69="","0",E69)</f>
        <v>0</v>
      </c>
    </row>
    <row r="70" spans="1:7">
      <c r="A70" s="17" t="str">
        <f>IF(BDI_FuncList!$A69= "", "",BDI_FuncList!$A69)</f>
        <v/>
      </c>
      <c r="B70" s="4"/>
      <c r="C70" s="4"/>
      <c r="D70" s="4"/>
      <c r="E70" s="7" t="str">
        <f t="shared" si="3"/>
        <v/>
      </c>
      <c r="F70" s="8" t="str">
        <f t="shared" si="4"/>
        <v/>
      </c>
      <c r="G70" s="10" t="str">
        <f t="shared" si="5"/>
        <v>0</v>
      </c>
    </row>
    <row r="71" spans="1:7">
      <c r="A71" s="17" t="str">
        <f>IF(BDI_FuncList!$A70= "", "",BDI_FuncList!$A70)</f>
        <v/>
      </c>
      <c r="B71" s="4"/>
      <c r="C71" s="4"/>
      <c r="D71" s="4"/>
      <c r="E71" s="7" t="str">
        <f t="shared" si="3"/>
        <v/>
      </c>
      <c r="F71" s="8" t="str">
        <f t="shared" si="4"/>
        <v/>
      </c>
      <c r="G71" s="10" t="str">
        <f t="shared" si="5"/>
        <v>0</v>
      </c>
    </row>
    <row r="72" spans="1:7">
      <c r="A72" s="17" t="str">
        <f>IF(BDI_FuncList!$A71= "", "",BDI_FuncList!$A71)</f>
        <v/>
      </c>
      <c r="B72" s="4"/>
      <c r="C72" s="4"/>
      <c r="D72" s="4"/>
      <c r="E72" s="7" t="str">
        <f t="shared" si="3"/>
        <v/>
      </c>
      <c r="F72" s="8" t="str">
        <f t="shared" si="4"/>
        <v/>
      </c>
      <c r="G72" s="10" t="str">
        <f t="shared" si="5"/>
        <v>0</v>
      </c>
    </row>
    <row r="73" spans="1:7">
      <c r="A73" s="17" t="str">
        <f>IF(BDI_FuncList!$A72= "", "",BDI_FuncList!$A72)</f>
        <v/>
      </c>
      <c r="B73" s="4"/>
      <c r="C73" s="4"/>
      <c r="D73" s="4"/>
      <c r="E73" s="7" t="str">
        <f t="shared" si="3"/>
        <v/>
      </c>
      <c r="F73" s="8" t="str">
        <f t="shared" si="4"/>
        <v/>
      </c>
      <c r="G73" s="10" t="str">
        <f t="shared" si="5"/>
        <v>0</v>
      </c>
    </row>
    <row r="74" spans="1:7">
      <c r="A74" s="17" t="str">
        <f>IF(BDI_FuncList!$A73= "", "",BDI_FuncList!$A73)</f>
        <v/>
      </c>
      <c r="B74" s="4"/>
      <c r="C74" s="4"/>
      <c r="D74" s="4"/>
      <c r="E74" s="7" t="str">
        <f t="shared" si="3"/>
        <v/>
      </c>
      <c r="F74" s="8" t="str">
        <f t="shared" si="4"/>
        <v/>
      </c>
      <c r="G74" s="10" t="str">
        <f t="shared" si="5"/>
        <v>0</v>
      </c>
    </row>
    <row r="75" spans="1:7">
      <c r="A75" s="17" t="str">
        <f>IF(BDI_FuncList!$A74= "", "",BDI_FuncList!$A74)</f>
        <v/>
      </c>
      <c r="B75" s="4"/>
      <c r="C75" s="4"/>
      <c r="D75" s="4"/>
      <c r="E75" s="7" t="str">
        <f t="shared" si="3"/>
        <v/>
      </c>
      <c r="F75" s="8" t="str">
        <f t="shared" si="4"/>
        <v/>
      </c>
      <c r="G75" s="10" t="str">
        <f t="shared" si="5"/>
        <v>0</v>
      </c>
    </row>
    <row r="76" spans="1:7">
      <c r="A76" s="17" t="str">
        <f>IF(BDI_FuncList!$A75= "", "",BDI_FuncList!$A75)</f>
        <v/>
      </c>
      <c r="B76" s="4"/>
      <c r="C76" s="4"/>
      <c r="D76" s="4"/>
      <c r="E76" s="7" t="str">
        <f t="shared" si="3"/>
        <v/>
      </c>
      <c r="F76" s="8" t="str">
        <f t="shared" si="4"/>
        <v/>
      </c>
      <c r="G76" s="10" t="str">
        <f t="shared" si="5"/>
        <v>0</v>
      </c>
    </row>
    <row r="77" spans="1:7">
      <c r="A77" s="17" t="str">
        <f>IF(BDI_FuncList!$A76= "", "",BDI_FuncList!$A76)</f>
        <v/>
      </c>
      <c r="B77" s="4"/>
      <c r="C77" s="4"/>
      <c r="D77" s="4"/>
      <c r="E77" s="7" t="str">
        <f t="shared" si="3"/>
        <v/>
      </c>
      <c r="F77" s="8" t="str">
        <f t="shared" si="4"/>
        <v/>
      </c>
      <c r="G77" s="10" t="str">
        <f t="shared" si="5"/>
        <v>0</v>
      </c>
    </row>
    <row r="78" spans="1:7">
      <c r="A78" s="17" t="str">
        <f>IF(BDI_FuncList!$A77= "", "",BDI_FuncList!$A77)</f>
        <v/>
      </c>
      <c r="B78" s="4"/>
      <c r="C78" s="4"/>
      <c r="D78" s="4"/>
      <c r="E78" s="7" t="str">
        <f t="shared" si="3"/>
        <v/>
      </c>
      <c r="F78" s="8" t="str">
        <f t="shared" si="4"/>
        <v/>
      </c>
      <c r="G78" s="10" t="str">
        <f t="shared" si="5"/>
        <v>0</v>
      </c>
    </row>
    <row r="79" spans="1:7">
      <c r="A79" s="17" t="str">
        <f>IF(BDI_FuncList!$A78= "", "",BDI_FuncList!$A78)</f>
        <v/>
      </c>
      <c r="B79" s="4"/>
      <c r="C79" s="4"/>
      <c r="D79" s="4"/>
      <c r="E79" s="7" t="str">
        <f t="shared" si="3"/>
        <v/>
      </c>
      <c r="F79" s="8" t="str">
        <f t="shared" si="4"/>
        <v/>
      </c>
      <c r="G79" s="10" t="str">
        <f t="shared" si="5"/>
        <v>0</v>
      </c>
    </row>
    <row r="80" spans="1:7">
      <c r="A80" s="17" t="str">
        <f>IF(BDI_FuncList!$A79= "", "",BDI_FuncList!$A79)</f>
        <v/>
      </c>
      <c r="B80" s="4"/>
      <c r="C80" s="4"/>
      <c r="D80" s="4"/>
      <c r="E80" s="7" t="str">
        <f t="shared" si="3"/>
        <v/>
      </c>
      <c r="F80" s="8" t="str">
        <f t="shared" si="4"/>
        <v/>
      </c>
      <c r="G80" s="10" t="str">
        <f t="shared" si="5"/>
        <v>0</v>
      </c>
    </row>
    <row r="81" spans="1:7">
      <c r="A81" s="17" t="str">
        <f>IF(BDI_FuncList!$A80= "", "",BDI_FuncList!$A80)</f>
        <v/>
      </c>
      <c r="B81" s="4"/>
      <c r="C81" s="4"/>
      <c r="D81" s="4"/>
      <c r="E81" s="7" t="str">
        <f t="shared" si="3"/>
        <v/>
      </c>
      <c r="F81" s="8" t="str">
        <f t="shared" si="4"/>
        <v/>
      </c>
      <c r="G81" s="10" t="str">
        <f t="shared" si="5"/>
        <v>0</v>
      </c>
    </row>
    <row r="82" spans="1:7">
      <c r="A82" s="17" t="str">
        <f>IF(BDI_FuncList!$A81= "", "",BDI_FuncList!$A81)</f>
        <v/>
      </c>
      <c r="B82" s="4"/>
      <c r="C82" s="4"/>
      <c r="D82" s="4"/>
      <c r="E82" s="7" t="str">
        <f t="shared" si="3"/>
        <v/>
      </c>
      <c r="F82" s="8" t="str">
        <f t="shared" si="4"/>
        <v/>
      </c>
      <c r="G82" s="10" t="str">
        <f t="shared" si="5"/>
        <v>0</v>
      </c>
    </row>
    <row r="83" spans="1:7">
      <c r="A83" s="17" t="str">
        <f>IF(BDI_FuncList!$A82= "", "",BDI_FuncList!$A82)</f>
        <v/>
      </c>
      <c r="B83" s="4"/>
      <c r="C83" s="4"/>
      <c r="D83" s="4"/>
      <c r="E83" s="7" t="str">
        <f t="shared" si="3"/>
        <v/>
      </c>
      <c r="F83" s="8" t="str">
        <f t="shared" si="4"/>
        <v/>
      </c>
      <c r="G83" s="10" t="str">
        <f t="shared" si="5"/>
        <v>0</v>
      </c>
    </row>
    <row r="84" spans="1:7">
      <c r="A84" s="17" t="str">
        <f>IF(BDI_FuncList!$A83= "", "",BDI_FuncList!$A83)</f>
        <v/>
      </c>
      <c r="B84" s="4"/>
      <c r="C84" s="4"/>
      <c r="D84" s="4"/>
      <c r="E84" s="7" t="str">
        <f t="shared" si="3"/>
        <v/>
      </c>
      <c r="F84" s="8" t="str">
        <f t="shared" si="4"/>
        <v/>
      </c>
      <c r="G84" s="10" t="str">
        <f t="shared" si="5"/>
        <v>0</v>
      </c>
    </row>
    <row r="85" spans="1:7">
      <c r="A85" s="17" t="str">
        <f>IF(BDI_FuncList!$A84= "", "",BDI_FuncList!$A84)</f>
        <v/>
      </c>
      <c r="B85" s="4"/>
      <c r="C85" s="4"/>
      <c r="D85" s="4"/>
      <c r="E85" s="7" t="str">
        <f t="shared" si="3"/>
        <v/>
      </c>
      <c r="F85" s="8" t="str">
        <f t="shared" si="4"/>
        <v/>
      </c>
      <c r="G85" s="10" t="str">
        <f t="shared" si="5"/>
        <v>0</v>
      </c>
    </row>
    <row r="86" spans="1:7">
      <c r="A86" s="17" t="str">
        <f>IF(BDI_FuncList!$A85= "", "",BDI_FuncList!$A85)</f>
        <v/>
      </c>
      <c r="B86" s="4"/>
      <c r="C86" s="4"/>
      <c r="D86" s="4"/>
      <c r="E86" s="7" t="str">
        <f t="shared" si="3"/>
        <v/>
      </c>
      <c r="F86" s="8" t="str">
        <f t="shared" si="4"/>
        <v/>
      </c>
      <c r="G86" s="10" t="str">
        <f t="shared" si="5"/>
        <v>0</v>
      </c>
    </row>
    <row r="87" spans="1:7">
      <c r="A87" s="17" t="str">
        <f>IF(BDI_FuncList!$A86= "", "",BDI_FuncList!$A86)</f>
        <v/>
      </c>
      <c r="B87" s="4"/>
      <c r="C87" s="4"/>
      <c r="D87" s="4"/>
      <c r="E87" s="7" t="str">
        <f t="shared" si="3"/>
        <v/>
      </c>
      <c r="F87" s="8" t="str">
        <f t="shared" si="4"/>
        <v/>
      </c>
      <c r="G87" s="10" t="str">
        <f t="shared" si="5"/>
        <v>0</v>
      </c>
    </row>
    <row r="88" spans="1:7">
      <c r="A88" s="17" t="str">
        <f>IF(BDI_FuncList!$A87= "", "",BDI_FuncList!$A87)</f>
        <v/>
      </c>
      <c r="B88" s="4"/>
      <c r="C88" s="4"/>
      <c r="D88" s="4"/>
      <c r="E88" s="7" t="str">
        <f t="shared" si="3"/>
        <v/>
      </c>
      <c r="F88" s="8" t="str">
        <f t="shared" si="4"/>
        <v/>
      </c>
      <c r="G88" s="10" t="str">
        <f t="shared" si="5"/>
        <v>0</v>
      </c>
    </row>
    <row r="89" spans="1:7">
      <c r="A89" s="17" t="str">
        <f>IF(BDI_FuncList!$A88= "", "",BDI_FuncList!$A88)</f>
        <v/>
      </c>
      <c r="B89" s="4"/>
      <c r="C89" s="4"/>
      <c r="D89" s="4"/>
      <c r="E89" s="7" t="str">
        <f t="shared" si="3"/>
        <v/>
      </c>
      <c r="F89" s="8" t="str">
        <f t="shared" si="4"/>
        <v/>
      </c>
      <c r="G89" s="10" t="str">
        <f t="shared" si="5"/>
        <v>0</v>
      </c>
    </row>
    <row r="90" spans="1:7">
      <c r="A90" s="17" t="str">
        <f>IF(BDI_FuncList!$A89= "", "",BDI_FuncList!$A89)</f>
        <v/>
      </c>
      <c r="B90" s="4"/>
      <c r="C90" s="4"/>
      <c r="D90" s="4"/>
      <c r="E90" s="7" t="str">
        <f t="shared" si="3"/>
        <v/>
      </c>
      <c r="F90" s="8" t="str">
        <f t="shared" si="4"/>
        <v/>
      </c>
      <c r="G90" s="10" t="str">
        <f t="shared" si="5"/>
        <v>0</v>
      </c>
    </row>
    <row r="91" spans="1:7">
      <c r="A91" s="17" t="str">
        <f>IF(BDI_FuncList!$A90= "", "",BDI_FuncList!$A90)</f>
        <v/>
      </c>
      <c r="B91" s="4"/>
      <c r="C91" s="4"/>
      <c r="D91" s="4"/>
      <c r="E91" s="7" t="str">
        <f t="shared" si="3"/>
        <v/>
      </c>
      <c r="F91" s="8" t="str">
        <f t="shared" si="4"/>
        <v/>
      </c>
      <c r="G91" s="10" t="str">
        <f t="shared" si="5"/>
        <v>0</v>
      </c>
    </row>
    <row r="92" spans="1:7">
      <c r="A92" s="17" t="str">
        <f>IF(BDI_FuncList!$A91= "", "",BDI_FuncList!$A91)</f>
        <v/>
      </c>
      <c r="B92" s="4"/>
      <c r="C92" s="4"/>
      <c r="D92" s="4"/>
      <c r="E92" s="7" t="str">
        <f t="shared" si="3"/>
        <v/>
      </c>
      <c r="F92" s="8" t="str">
        <f t="shared" si="4"/>
        <v/>
      </c>
      <c r="G92" s="10" t="str">
        <f t="shared" si="5"/>
        <v>0</v>
      </c>
    </row>
    <row r="93" spans="1:7">
      <c r="A93" s="17" t="str">
        <f>IF(BDI_FuncList!$A92= "", "",BDI_FuncList!$A92)</f>
        <v/>
      </c>
      <c r="B93" s="4"/>
      <c r="C93" s="4"/>
      <c r="D93" s="4"/>
      <c r="E93" s="7" t="str">
        <f t="shared" si="3"/>
        <v/>
      </c>
      <c r="F93" s="8" t="str">
        <f t="shared" si="4"/>
        <v/>
      </c>
      <c r="G93" s="10" t="str">
        <f t="shared" si="5"/>
        <v>0</v>
      </c>
    </row>
    <row r="94" spans="1:7">
      <c r="A94" s="17" t="str">
        <f>IF(BDI_FuncList!$A93= "", "",BDI_FuncList!$A93)</f>
        <v/>
      </c>
      <c r="B94" s="4"/>
      <c r="C94" s="4"/>
      <c r="D94" s="4"/>
      <c r="E94" s="7" t="str">
        <f t="shared" si="3"/>
        <v/>
      </c>
      <c r="F94" s="8" t="str">
        <f t="shared" si="4"/>
        <v/>
      </c>
      <c r="G94" s="10" t="str">
        <f t="shared" si="5"/>
        <v>0</v>
      </c>
    </row>
    <row r="95" spans="1:7">
      <c r="A95" s="17" t="str">
        <f>IF(BDI_FuncList!$A94= "", "",BDI_FuncList!$A94)</f>
        <v/>
      </c>
      <c r="B95" s="4"/>
      <c r="C95" s="4"/>
      <c r="D95" s="4"/>
      <c r="E95" s="7" t="str">
        <f t="shared" si="3"/>
        <v/>
      </c>
      <c r="F95" s="8" t="str">
        <f t="shared" si="4"/>
        <v/>
      </c>
      <c r="G95" s="10" t="str">
        <f t="shared" si="5"/>
        <v>0</v>
      </c>
    </row>
    <row r="96" spans="1:7">
      <c r="A96" s="17" t="str">
        <f>IF(BDI_FuncList!$A95= "", "",BDI_FuncList!$A95)</f>
        <v/>
      </c>
      <c r="B96" s="4"/>
      <c r="C96" s="4"/>
      <c r="D96" s="4"/>
      <c r="E96" s="7" t="str">
        <f t="shared" si="3"/>
        <v/>
      </c>
      <c r="F96" s="8" t="str">
        <f t="shared" si="4"/>
        <v/>
      </c>
      <c r="G96" s="10" t="str">
        <f t="shared" si="5"/>
        <v>0</v>
      </c>
    </row>
    <row r="97" spans="1:7">
      <c r="A97" s="17" t="str">
        <f>IF(BDI_FuncList!$A96= "", "",BDI_FuncList!$A96)</f>
        <v/>
      </c>
      <c r="B97" s="4"/>
      <c r="C97" s="4"/>
      <c r="D97" s="4"/>
      <c r="E97" s="7" t="str">
        <f t="shared" si="3"/>
        <v/>
      </c>
      <c r="F97" s="8" t="str">
        <f t="shared" si="4"/>
        <v/>
      </c>
      <c r="G97" s="10" t="str">
        <f t="shared" si="5"/>
        <v>0</v>
      </c>
    </row>
    <row r="98" spans="1:7">
      <c r="A98" s="17" t="str">
        <f>IF(BDI_FuncList!$A97= "", "",BDI_FuncList!$A97)</f>
        <v/>
      </c>
      <c r="B98" s="4"/>
      <c r="C98" s="4"/>
      <c r="D98" s="4"/>
      <c r="E98" s="7" t="str">
        <f t="shared" si="3"/>
        <v/>
      </c>
      <c r="F98" s="8" t="str">
        <f t="shared" si="4"/>
        <v/>
      </c>
      <c r="G98" s="10" t="str">
        <f t="shared" si="5"/>
        <v>0</v>
      </c>
    </row>
    <row r="99" spans="1:7">
      <c r="A99" s="17" t="str">
        <f>IF(BDI_FuncList!$A98= "", "",BDI_FuncList!$A98)</f>
        <v/>
      </c>
      <c r="B99" s="4"/>
      <c r="C99" s="4"/>
      <c r="D99" s="4"/>
      <c r="E99" s="7" t="str">
        <f t="shared" si="3"/>
        <v/>
      </c>
      <c r="F99" s="8" t="str">
        <f t="shared" si="4"/>
        <v/>
      </c>
      <c r="G99" s="10" t="str">
        <f t="shared" si="5"/>
        <v>0</v>
      </c>
    </row>
    <row r="100" spans="1:7">
      <c r="A100" s="17" t="str">
        <f>IF(BDI_FuncList!$A99= "", "",BDI_FuncList!$A99)</f>
        <v/>
      </c>
      <c r="B100" s="4"/>
      <c r="C100" s="4"/>
      <c r="D100" s="4"/>
      <c r="E100" s="7" t="str">
        <f t="shared" si="3"/>
        <v/>
      </c>
      <c r="F100" s="8" t="str">
        <f t="shared" si="4"/>
        <v/>
      </c>
      <c r="G100" s="10" t="str">
        <f t="shared" si="5"/>
        <v>0</v>
      </c>
    </row>
    <row r="101" spans="1:7">
      <c r="A101" s="17" t="str">
        <f>IF(BDI_FuncList!$A100= "", "",BDI_FuncList!$A100)</f>
        <v/>
      </c>
      <c r="B101" s="4"/>
      <c r="C101" s="4"/>
      <c r="D101" s="4"/>
      <c r="E101" s="7" t="str">
        <f t="shared" si="3"/>
        <v/>
      </c>
      <c r="F101" s="8" t="str">
        <f t="shared" si="4"/>
        <v/>
      </c>
      <c r="G101" s="10" t="str">
        <f t="shared" si="5"/>
        <v>0</v>
      </c>
    </row>
    <row r="102" spans="1:7">
      <c r="A102" s="17" t="str">
        <f>IF(BDI_FuncList!$A101= "", "",BDI_FuncList!$A101)</f>
        <v/>
      </c>
      <c r="B102" s="4"/>
      <c r="C102" s="4"/>
      <c r="D102" s="4"/>
      <c r="E102" s="7" t="str">
        <f t="shared" si="3"/>
        <v/>
      </c>
      <c r="F102" s="8" t="str">
        <f t="shared" si="4"/>
        <v/>
      </c>
      <c r="G102" s="10" t="str">
        <f t="shared" si="5"/>
        <v>0</v>
      </c>
    </row>
    <row r="103" spans="1:7">
      <c r="A103" s="17" t="str">
        <f>IF(BDI_FuncList!$A102= "", "",BDI_FuncList!$A102)</f>
        <v/>
      </c>
      <c r="B103" s="4"/>
      <c r="C103" s="4"/>
      <c r="D103" s="4"/>
      <c r="E103" s="7" t="str">
        <f t="shared" si="3"/>
        <v/>
      </c>
      <c r="F103" s="8" t="str">
        <f t="shared" si="4"/>
        <v/>
      </c>
      <c r="G103" s="10" t="str">
        <f t="shared" si="5"/>
        <v>0</v>
      </c>
    </row>
    <row r="104" spans="1:7">
      <c r="A104" s="17" t="str">
        <f>IF(BDI_FuncList!$A103= "", "",BDI_FuncList!$A103)</f>
        <v/>
      </c>
      <c r="B104" s="4"/>
      <c r="C104" s="4"/>
      <c r="D104" s="4"/>
      <c r="E104" s="7" t="str">
        <f t="shared" si="3"/>
        <v/>
      </c>
      <c r="F104" s="8" t="str">
        <f t="shared" si="4"/>
        <v/>
      </c>
      <c r="G104" s="10" t="str">
        <f t="shared" si="5"/>
        <v>0</v>
      </c>
    </row>
    <row r="105" spans="1:7">
      <c r="A105" s="17" t="str">
        <f>IF(BDI_FuncList!$A104= "", "",BDI_FuncList!$A104)</f>
        <v/>
      </c>
      <c r="B105" s="4"/>
      <c r="C105" s="4"/>
      <c r="D105" s="4"/>
      <c r="E105" s="7" t="str">
        <f t="shared" si="3"/>
        <v/>
      </c>
      <c r="F105" s="8" t="str">
        <f t="shared" si="4"/>
        <v/>
      </c>
      <c r="G105" s="10" t="str">
        <f t="shared" si="5"/>
        <v>0</v>
      </c>
    </row>
    <row r="106" spans="1:7">
      <c r="A106" s="17" t="str">
        <f>IF(BDI_FuncList!$A105= "", "",BDI_FuncList!$A105)</f>
        <v/>
      </c>
      <c r="B106" s="4"/>
      <c r="C106" s="4"/>
      <c r="D106" s="4"/>
      <c r="E106" s="7" t="str">
        <f t="shared" si="3"/>
        <v/>
      </c>
      <c r="F106" s="8" t="str">
        <f t="shared" si="4"/>
        <v/>
      </c>
      <c r="G106" s="10" t="str">
        <f t="shared" si="5"/>
        <v>0</v>
      </c>
    </row>
    <row r="107" spans="1:7">
      <c r="A107" s="17" t="str">
        <f>IF(BDI_FuncList!$A106= "", "",BDI_FuncList!$A106)</f>
        <v/>
      </c>
      <c r="B107" s="4"/>
      <c r="C107" s="4"/>
      <c r="D107" s="4"/>
      <c r="E107" s="7" t="str">
        <f t="shared" si="3"/>
        <v/>
      </c>
      <c r="F107" s="8" t="str">
        <f t="shared" si="4"/>
        <v/>
      </c>
      <c r="G107" s="10" t="str">
        <f t="shared" si="5"/>
        <v>0</v>
      </c>
    </row>
    <row r="108" spans="1:7">
      <c r="A108" s="17" t="str">
        <f>IF(BDI_FuncList!$A107= "", "",BDI_FuncList!$A107)</f>
        <v/>
      </c>
      <c r="B108" s="4"/>
      <c r="C108" s="4"/>
      <c r="D108" s="4"/>
      <c r="E108" s="7" t="str">
        <f t="shared" si="3"/>
        <v/>
      </c>
      <c r="F108" s="8" t="str">
        <f t="shared" si="4"/>
        <v/>
      </c>
      <c r="G108" s="10" t="str">
        <f t="shared" si="5"/>
        <v>0</v>
      </c>
    </row>
    <row r="109" spans="1:7">
      <c r="A109" s="17" t="str">
        <f>IF(BDI_FuncList!$A108= "", "",BDI_FuncList!$A108)</f>
        <v/>
      </c>
      <c r="B109" s="4"/>
      <c r="C109" s="4"/>
      <c r="D109" s="4"/>
      <c r="E109" s="7" t="str">
        <f t="shared" si="3"/>
        <v/>
      </c>
      <c r="F109" s="8" t="str">
        <f t="shared" si="4"/>
        <v/>
      </c>
      <c r="G109" s="10" t="str">
        <f t="shared" si="5"/>
        <v>0</v>
      </c>
    </row>
    <row r="110" spans="1:7">
      <c r="A110" s="17" t="str">
        <f>IF(BDI_FuncList!$A109= "", "",BDI_FuncList!$A109)</f>
        <v/>
      </c>
      <c r="B110" s="4"/>
      <c r="C110" s="4"/>
      <c r="D110" s="4"/>
      <c r="E110" s="7" t="str">
        <f t="shared" si="3"/>
        <v/>
      </c>
      <c r="F110" s="8" t="str">
        <f t="shared" si="4"/>
        <v/>
      </c>
      <c r="G110" s="10" t="str">
        <f t="shared" si="5"/>
        <v>0</v>
      </c>
    </row>
    <row r="111" spans="1:7">
      <c r="A111" s="17" t="str">
        <f>IF(BDI_FuncList!$A110= "", "",BDI_FuncList!$A110)</f>
        <v/>
      </c>
      <c r="B111" s="4"/>
      <c r="C111" s="4"/>
      <c r="D111" s="4"/>
      <c r="E111" s="7" t="str">
        <f t="shared" si="3"/>
        <v/>
      </c>
      <c r="F111" s="8" t="str">
        <f t="shared" si="4"/>
        <v/>
      </c>
      <c r="G111" s="10" t="str">
        <f t="shared" si="5"/>
        <v>0</v>
      </c>
    </row>
    <row r="112" spans="1:7">
      <c r="A112" s="17" t="str">
        <f>IF(BDI_FuncList!$A111= "", "",BDI_FuncList!$A111)</f>
        <v/>
      </c>
      <c r="B112" s="4"/>
      <c r="C112" s="4"/>
      <c r="D112" s="4"/>
      <c r="E112" s="7" t="str">
        <f t="shared" si="3"/>
        <v/>
      </c>
      <c r="F112" s="8" t="str">
        <f t="shared" si="4"/>
        <v/>
      </c>
      <c r="G112" s="10" t="str">
        <f t="shared" si="5"/>
        <v>0</v>
      </c>
    </row>
    <row r="113" spans="1:7">
      <c r="A113" s="17" t="str">
        <f>IF(BDI_FuncList!$A112= "", "",BDI_FuncList!$A112)</f>
        <v/>
      </c>
      <c r="B113" s="4"/>
      <c r="C113" s="4"/>
      <c r="D113" s="4"/>
      <c r="E113" s="7" t="str">
        <f t="shared" si="3"/>
        <v/>
      </c>
      <c r="F113" s="8" t="str">
        <f t="shared" si="4"/>
        <v/>
      </c>
      <c r="G113" s="10" t="str">
        <f t="shared" si="5"/>
        <v>0</v>
      </c>
    </row>
    <row r="114" spans="1:7">
      <c r="A114" s="17" t="str">
        <f>IF(BDI_FuncList!$A113= "", "",BDI_FuncList!$A113)</f>
        <v/>
      </c>
      <c r="B114" s="4"/>
      <c r="C114" s="4"/>
      <c r="D114" s="4"/>
      <c r="E114" s="7" t="str">
        <f t="shared" si="3"/>
        <v/>
      </c>
      <c r="F114" s="8" t="str">
        <f t="shared" si="4"/>
        <v/>
      </c>
      <c r="G114" s="10" t="str">
        <f t="shared" si="5"/>
        <v>0</v>
      </c>
    </row>
    <row r="115" spans="1:7">
      <c r="A115" s="17" t="str">
        <f>IF(BDI_FuncList!$A114= "", "",BDI_FuncList!$A114)</f>
        <v/>
      </c>
      <c r="B115" s="4"/>
      <c r="C115" s="4"/>
      <c r="D115" s="4"/>
      <c r="E115" s="7" t="str">
        <f t="shared" si="3"/>
        <v/>
      </c>
      <c r="F115" s="8" t="str">
        <f t="shared" si="4"/>
        <v/>
      </c>
      <c r="G115" s="10" t="str">
        <f t="shared" si="5"/>
        <v>0</v>
      </c>
    </row>
    <row r="116" spans="1:7">
      <c r="A116" s="17" t="str">
        <f>IF(BDI_FuncList!$A115= "", "",BDI_FuncList!$A115)</f>
        <v/>
      </c>
      <c r="B116" s="4"/>
      <c r="C116" s="4"/>
      <c r="D116" s="4"/>
      <c r="E116" s="7" t="str">
        <f t="shared" si="3"/>
        <v/>
      </c>
      <c r="F116" s="8" t="str">
        <f t="shared" si="4"/>
        <v/>
      </c>
      <c r="G116" s="10" t="str">
        <f t="shared" si="5"/>
        <v>0</v>
      </c>
    </row>
    <row r="117" spans="1:7">
      <c r="A117" s="17" t="str">
        <f>IF(BDI_FuncList!$A116= "", "",BDI_FuncList!$A116)</f>
        <v/>
      </c>
      <c r="B117" s="4"/>
      <c r="C117" s="4"/>
      <c r="D117" s="4"/>
      <c r="E117" s="7" t="str">
        <f t="shared" si="3"/>
        <v/>
      </c>
      <c r="F117" s="8" t="str">
        <f t="shared" si="4"/>
        <v/>
      </c>
      <c r="G117" s="10" t="str">
        <f t="shared" si="5"/>
        <v>0</v>
      </c>
    </row>
    <row r="118" spans="1:7">
      <c r="A118" s="17" t="str">
        <f>IF(BDI_FuncList!$A117= "", "",BDI_FuncList!$A117)</f>
        <v/>
      </c>
      <c r="B118" s="4"/>
      <c r="C118" s="4"/>
      <c r="D118" s="4"/>
      <c r="E118" s="7" t="str">
        <f t="shared" si="3"/>
        <v/>
      </c>
      <c r="F118" s="8" t="str">
        <f t="shared" si="4"/>
        <v/>
      </c>
      <c r="G118" s="10" t="str">
        <f t="shared" si="5"/>
        <v>0</v>
      </c>
    </row>
    <row r="119" spans="1:7">
      <c r="A119" s="17" t="str">
        <f>IF(BDI_FuncList!$A118= "", "",BDI_FuncList!$A118)</f>
        <v/>
      </c>
      <c r="B119" s="4"/>
      <c r="C119" s="4"/>
      <c r="D119" s="4"/>
      <c r="E119" s="7" t="str">
        <f t="shared" si="3"/>
        <v/>
      </c>
      <c r="F119" s="8" t="str">
        <f t="shared" si="4"/>
        <v/>
      </c>
      <c r="G119" s="10" t="str">
        <f t="shared" si="5"/>
        <v>0</v>
      </c>
    </row>
    <row r="120" spans="1:7">
      <c r="A120" s="17" t="str">
        <f>IF(BDI_FuncList!$A119= "", "",BDI_FuncList!$A119)</f>
        <v/>
      </c>
      <c r="B120" s="4"/>
      <c r="C120" s="4"/>
      <c r="D120" s="4"/>
      <c r="E120" s="7" t="str">
        <f t="shared" si="3"/>
        <v/>
      </c>
      <c r="F120" s="8" t="str">
        <f t="shared" si="4"/>
        <v/>
      </c>
      <c r="G120" s="10" t="str">
        <f t="shared" si="5"/>
        <v>0</v>
      </c>
    </row>
    <row r="121" spans="1:7">
      <c r="A121" s="17" t="str">
        <f>IF(BDI_FuncList!$A120= "", "",BDI_FuncList!$A120)</f>
        <v/>
      </c>
      <c r="B121" s="4"/>
      <c r="C121" s="4"/>
      <c r="D121" s="4"/>
      <c r="E121" s="7" t="str">
        <f t="shared" si="3"/>
        <v/>
      </c>
      <c r="F121" s="8" t="str">
        <f t="shared" si="4"/>
        <v/>
      </c>
      <c r="G121" s="10" t="str">
        <f t="shared" si="5"/>
        <v>0</v>
      </c>
    </row>
    <row r="122" spans="1:7">
      <c r="A122" s="17" t="str">
        <f>IF(BDI_FuncList!$A121= "", "",BDI_FuncList!$A121)</f>
        <v/>
      </c>
      <c r="B122" s="4"/>
      <c r="C122" s="4"/>
      <c r="D122" s="4"/>
      <c r="E122" s="7" t="str">
        <f t="shared" si="3"/>
        <v/>
      </c>
      <c r="F122" s="8" t="str">
        <f t="shared" si="4"/>
        <v/>
      </c>
      <c r="G122" s="10" t="str">
        <f t="shared" si="5"/>
        <v>0</v>
      </c>
    </row>
    <row r="123" spans="1:7">
      <c r="A123" s="17" t="str">
        <f>IF(BDI_FuncList!$A122= "", "",BDI_FuncList!$A122)</f>
        <v/>
      </c>
      <c r="B123" s="4"/>
      <c r="C123" s="4"/>
      <c r="D123" s="4"/>
      <c r="E123" s="7" t="str">
        <f t="shared" si="3"/>
        <v/>
      </c>
      <c r="F123" s="8" t="str">
        <f t="shared" si="4"/>
        <v/>
      </c>
      <c r="G123" s="10" t="str">
        <f t="shared" si="5"/>
        <v>0</v>
      </c>
    </row>
    <row r="124" spans="1:7">
      <c r="A124" s="17" t="str">
        <f>IF(BDI_FuncList!$A123= "", "",BDI_FuncList!$A123)</f>
        <v/>
      </c>
      <c r="B124" s="4"/>
      <c r="C124" s="4"/>
      <c r="D124" s="4"/>
      <c r="E124" s="7" t="str">
        <f t="shared" si="3"/>
        <v/>
      </c>
      <c r="F124" s="8" t="str">
        <f t="shared" si="4"/>
        <v/>
      </c>
      <c r="G124" s="10" t="str">
        <f t="shared" si="5"/>
        <v>0</v>
      </c>
    </row>
    <row r="125" spans="1:7">
      <c r="A125" s="17" t="str">
        <f>IF(BDI_FuncList!$A124= "", "",BDI_FuncList!$A124)</f>
        <v/>
      </c>
      <c r="B125" s="4"/>
      <c r="C125" s="4"/>
      <c r="D125" s="4"/>
      <c r="E125" s="7" t="str">
        <f t="shared" si="3"/>
        <v/>
      </c>
      <c r="F125" s="8" t="str">
        <f t="shared" si="4"/>
        <v/>
      </c>
      <c r="G125" s="10" t="str">
        <f t="shared" si="5"/>
        <v>0</v>
      </c>
    </row>
    <row r="126" spans="1:7">
      <c r="A126" s="17" t="str">
        <f>IF(BDI_FuncList!$A125= "", "",BDI_FuncList!$A125)</f>
        <v/>
      </c>
      <c r="B126" s="4"/>
      <c r="C126" s="4"/>
      <c r="D126" s="4"/>
      <c r="E126" s="7" t="str">
        <f t="shared" si="3"/>
        <v/>
      </c>
      <c r="F126" s="8" t="str">
        <f t="shared" si="4"/>
        <v/>
      </c>
      <c r="G126" s="10" t="str">
        <f t="shared" si="5"/>
        <v>0</v>
      </c>
    </row>
    <row r="127" spans="1:7">
      <c r="A127" s="17" t="str">
        <f>IF(BDI_FuncList!$A126= "", "",BDI_FuncList!$A126)</f>
        <v/>
      </c>
      <c r="B127" s="4"/>
      <c r="C127" s="4"/>
      <c r="D127" s="4"/>
      <c r="E127" s="7" t="str">
        <f t="shared" si="3"/>
        <v/>
      </c>
      <c r="F127" s="8" t="str">
        <f t="shared" si="4"/>
        <v/>
      </c>
      <c r="G127" s="10" t="str">
        <f t="shared" si="5"/>
        <v>0</v>
      </c>
    </row>
    <row r="128" spans="1:7">
      <c r="A128" s="17" t="str">
        <f>IF(BDI_FuncList!$A127= "", "",BDI_FuncList!$A127)</f>
        <v/>
      </c>
      <c r="B128" s="4"/>
      <c r="C128" s="4"/>
      <c r="D128" s="4"/>
      <c r="E128" s="7" t="str">
        <f t="shared" si="3"/>
        <v/>
      </c>
      <c r="F128" s="8" t="str">
        <f t="shared" si="4"/>
        <v/>
      </c>
      <c r="G128" s="10" t="str">
        <f t="shared" si="5"/>
        <v>0</v>
      </c>
    </row>
    <row r="129" spans="1:7">
      <c r="A129" s="17" t="str">
        <f>IF(BDI_FuncList!$A128= "", "",BDI_FuncList!$A128)</f>
        <v/>
      </c>
      <c r="B129" s="4"/>
      <c r="C129" s="4"/>
      <c r="D129" s="4"/>
      <c r="E129" s="7" t="str">
        <f t="shared" si="3"/>
        <v/>
      </c>
      <c r="F129" s="8" t="str">
        <f t="shared" si="4"/>
        <v/>
      </c>
      <c r="G129" s="10" t="str">
        <f t="shared" si="5"/>
        <v>0</v>
      </c>
    </row>
    <row r="130" spans="1:7">
      <c r="A130" s="17" t="str">
        <f>IF(BDI_FuncList!$A129= "", "",BDI_FuncList!$A129)</f>
        <v/>
      </c>
      <c r="B130" s="4"/>
      <c r="C130" s="4"/>
      <c r="D130" s="4"/>
      <c r="E130" s="7" t="str">
        <f t="shared" si="3"/>
        <v/>
      </c>
      <c r="F130" s="8" t="str">
        <f t="shared" si="4"/>
        <v/>
      </c>
      <c r="G130" s="10" t="str">
        <f t="shared" si="5"/>
        <v>0</v>
      </c>
    </row>
    <row r="131" spans="1:7">
      <c r="A131" s="17" t="str">
        <f>IF(BDI_FuncList!$A130= "", "",BDI_FuncList!$A130)</f>
        <v/>
      </c>
      <c r="B131" s="4"/>
      <c r="C131" s="4"/>
      <c r="D131" s="4"/>
      <c r="E131" s="7" t="str">
        <f t="shared" si="3"/>
        <v/>
      </c>
      <c r="F131" s="8" t="str">
        <f t="shared" si="4"/>
        <v/>
      </c>
      <c r="G131" s="10" t="str">
        <f t="shared" si="5"/>
        <v>0</v>
      </c>
    </row>
    <row r="132" spans="1:7">
      <c r="A132" s="17" t="str">
        <f>IF(BDI_FuncList!$A131= "", "",BDI_FuncList!$A131)</f>
        <v/>
      </c>
      <c r="B132" s="4"/>
      <c r="C132" s="4"/>
      <c r="D132" s="4"/>
      <c r="E132" s="7" t="str">
        <f t="shared" si="3"/>
        <v/>
      </c>
      <c r="F132" s="8" t="str">
        <f t="shared" si="4"/>
        <v/>
      </c>
      <c r="G132" s="10" t="str">
        <f t="shared" si="5"/>
        <v>0</v>
      </c>
    </row>
    <row r="133" spans="1:7">
      <c r="A133" s="17" t="str">
        <f>IF(BDI_FuncList!$A132= "", "",BDI_FuncList!$A132)</f>
        <v/>
      </c>
      <c r="B133" s="4"/>
      <c r="C133" s="4"/>
      <c r="D133" s="4"/>
      <c r="E133" s="7" t="str">
        <f t="shared" ref="E133:E196" si="6">IF((B133+4*C133+D133)/6 =0,"",(B133+4*C133+D133)/6)</f>
        <v/>
      </c>
      <c r="F133" s="8" t="str">
        <f t="shared" ref="F133:F196" si="7">IF(E133&lt;&gt;"",((D133-B133)/6)/E133,"")</f>
        <v/>
      </c>
      <c r="G133" s="10" t="str">
        <f t="shared" ref="G133:G196" si="8">IF(E133="","0",E133)</f>
        <v>0</v>
      </c>
    </row>
    <row r="134" spans="1:7">
      <c r="A134" s="17" t="str">
        <f>IF(BDI_FuncList!$A133= "", "",BDI_FuncList!$A133)</f>
        <v/>
      </c>
      <c r="B134" s="4"/>
      <c r="C134" s="4"/>
      <c r="D134" s="4"/>
      <c r="E134" s="7" t="str">
        <f t="shared" si="6"/>
        <v/>
      </c>
      <c r="F134" s="8" t="str">
        <f t="shared" si="7"/>
        <v/>
      </c>
      <c r="G134" s="10" t="str">
        <f t="shared" si="8"/>
        <v>0</v>
      </c>
    </row>
    <row r="135" spans="1:7">
      <c r="A135" s="17" t="str">
        <f>IF(BDI_FuncList!$A134= "", "",BDI_FuncList!$A134)</f>
        <v/>
      </c>
      <c r="B135" s="4"/>
      <c r="C135" s="4"/>
      <c r="D135" s="4"/>
      <c r="E135" s="7" t="str">
        <f t="shared" si="6"/>
        <v/>
      </c>
      <c r="F135" s="8" t="str">
        <f t="shared" si="7"/>
        <v/>
      </c>
      <c r="G135" s="10" t="str">
        <f t="shared" si="8"/>
        <v>0</v>
      </c>
    </row>
    <row r="136" spans="1:7">
      <c r="A136" s="17" t="str">
        <f>IF(BDI_FuncList!$A135= "", "",BDI_FuncList!$A135)</f>
        <v/>
      </c>
      <c r="B136" s="4"/>
      <c r="C136" s="4"/>
      <c r="D136" s="4"/>
      <c r="E136" s="7" t="str">
        <f t="shared" si="6"/>
        <v/>
      </c>
      <c r="F136" s="8" t="str">
        <f t="shared" si="7"/>
        <v/>
      </c>
      <c r="G136" s="10" t="str">
        <f t="shared" si="8"/>
        <v>0</v>
      </c>
    </row>
    <row r="137" spans="1:7">
      <c r="A137" s="17" t="str">
        <f>IF(BDI_FuncList!$A136= "", "",BDI_FuncList!$A136)</f>
        <v/>
      </c>
      <c r="B137" s="4"/>
      <c r="C137" s="4"/>
      <c r="D137" s="4"/>
      <c r="E137" s="7" t="str">
        <f t="shared" si="6"/>
        <v/>
      </c>
      <c r="F137" s="8" t="str">
        <f t="shared" si="7"/>
        <v/>
      </c>
      <c r="G137" s="10" t="str">
        <f t="shared" si="8"/>
        <v>0</v>
      </c>
    </row>
    <row r="138" spans="1:7">
      <c r="A138" s="17" t="str">
        <f>IF(BDI_FuncList!$A137= "", "",BDI_FuncList!$A137)</f>
        <v/>
      </c>
      <c r="B138" s="4"/>
      <c r="C138" s="4"/>
      <c r="D138" s="4"/>
      <c r="E138" s="7" t="str">
        <f t="shared" si="6"/>
        <v/>
      </c>
      <c r="F138" s="8" t="str">
        <f t="shared" si="7"/>
        <v/>
      </c>
      <c r="G138" s="10" t="str">
        <f t="shared" si="8"/>
        <v>0</v>
      </c>
    </row>
    <row r="139" spans="1:7">
      <c r="A139" s="17" t="str">
        <f>IF(BDI_FuncList!$A138= "", "",BDI_FuncList!$A138)</f>
        <v/>
      </c>
      <c r="B139" s="4"/>
      <c r="C139" s="4"/>
      <c r="D139" s="4"/>
      <c r="E139" s="7" t="str">
        <f t="shared" si="6"/>
        <v/>
      </c>
      <c r="F139" s="8" t="str">
        <f t="shared" si="7"/>
        <v/>
      </c>
      <c r="G139" s="10" t="str">
        <f t="shared" si="8"/>
        <v>0</v>
      </c>
    </row>
    <row r="140" spans="1:7">
      <c r="A140" s="17" t="str">
        <f>IF(BDI_FuncList!$A139= "", "",BDI_FuncList!$A139)</f>
        <v/>
      </c>
      <c r="B140" s="4"/>
      <c r="C140" s="4"/>
      <c r="D140" s="4"/>
      <c r="E140" s="7" t="str">
        <f t="shared" si="6"/>
        <v/>
      </c>
      <c r="F140" s="8" t="str">
        <f t="shared" si="7"/>
        <v/>
      </c>
      <c r="G140" s="10" t="str">
        <f t="shared" si="8"/>
        <v>0</v>
      </c>
    </row>
    <row r="141" spans="1:7">
      <c r="A141" s="17" t="str">
        <f>IF(BDI_FuncList!$A140= "", "",BDI_FuncList!$A140)</f>
        <v/>
      </c>
      <c r="B141" s="4"/>
      <c r="C141" s="4"/>
      <c r="D141" s="4"/>
      <c r="E141" s="7" t="str">
        <f t="shared" si="6"/>
        <v/>
      </c>
      <c r="F141" s="8" t="str">
        <f t="shared" si="7"/>
        <v/>
      </c>
      <c r="G141" s="10" t="str">
        <f t="shared" si="8"/>
        <v>0</v>
      </c>
    </row>
    <row r="142" spans="1:7">
      <c r="A142" s="17" t="str">
        <f>IF(BDI_FuncList!$A141= "", "",BDI_FuncList!$A141)</f>
        <v/>
      </c>
      <c r="B142" s="4"/>
      <c r="C142" s="4"/>
      <c r="D142" s="4"/>
      <c r="E142" s="7" t="str">
        <f t="shared" si="6"/>
        <v/>
      </c>
      <c r="F142" s="8" t="str">
        <f t="shared" si="7"/>
        <v/>
      </c>
      <c r="G142" s="10" t="str">
        <f t="shared" si="8"/>
        <v>0</v>
      </c>
    </row>
    <row r="143" spans="1:7">
      <c r="A143" s="17" t="str">
        <f>IF(BDI_FuncList!$A142= "", "",BDI_FuncList!$A142)</f>
        <v/>
      </c>
      <c r="B143" s="4"/>
      <c r="C143" s="4"/>
      <c r="D143" s="4"/>
      <c r="E143" s="7" t="str">
        <f t="shared" si="6"/>
        <v/>
      </c>
      <c r="F143" s="8" t="str">
        <f t="shared" si="7"/>
        <v/>
      </c>
      <c r="G143" s="10" t="str">
        <f t="shared" si="8"/>
        <v>0</v>
      </c>
    </row>
    <row r="144" spans="1:7">
      <c r="A144" s="17" t="str">
        <f>IF(BDI_FuncList!$A143= "", "",BDI_FuncList!$A143)</f>
        <v/>
      </c>
      <c r="B144" s="4"/>
      <c r="C144" s="4"/>
      <c r="D144" s="4"/>
      <c r="E144" s="7" t="str">
        <f t="shared" si="6"/>
        <v/>
      </c>
      <c r="F144" s="8" t="str">
        <f t="shared" si="7"/>
        <v/>
      </c>
      <c r="G144" s="10" t="str">
        <f t="shared" si="8"/>
        <v>0</v>
      </c>
    </row>
    <row r="145" spans="1:7">
      <c r="A145" s="17" t="str">
        <f>IF(BDI_FuncList!$A144= "", "",BDI_FuncList!$A144)</f>
        <v/>
      </c>
      <c r="B145" s="4"/>
      <c r="C145" s="4"/>
      <c r="D145" s="4"/>
      <c r="E145" s="7" t="str">
        <f t="shared" si="6"/>
        <v/>
      </c>
      <c r="F145" s="8" t="str">
        <f t="shared" si="7"/>
        <v/>
      </c>
      <c r="G145" s="10" t="str">
        <f t="shared" si="8"/>
        <v>0</v>
      </c>
    </row>
    <row r="146" spans="1:7">
      <c r="A146" s="17" t="str">
        <f>IF(BDI_FuncList!$A145= "", "",BDI_FuncList!$A145)</f>
        <v/>
      </c>
      <c r="B146" s="4"/>
      <c r="C146" s="4"/>
      <c r="D146" s="4"/>
      <c r="E146" s="7" t="str">
        <f t="shared" si="6"/>
        <v/>
      </c>
      <c r="F146" s="8" t="str">
        <f t="shared" si="7"/>
        <v/>
      </c>
      <c r="G146" s="10" t="str">
        <f t="shared" si="8"/>
        <v>0</v>
      </c>
    </row>
    <row r="147" spans="1:7">
      <c r="A147" s="17" t="str">
        <f>IF(BDI_FuncList!$A146= "", "",BDI_FuncList!$A146)</f>
        <v/>
      </c>
      <c r="B147" s="4"/>
      <c r="C147" s="4"/>
      <c r="D147" s="4"/>
      <c r="E147" s="7" t="str">
        <f t="shared" si="6"/>
        <v/>
      </c>
      <c r="F147" s="8" t="str">
        <f t="shared" si="7"/>
        <v/>
      </c>
      <c r="G147" s="10" t="str">
        <f t="shared" si="8"/>
        <v>0</v>
      </c>
    </row>
    <row r="148" spans="1:7">
      <c r="A148" s="17" t="str">
        <f>IF(BDI_FuncList!$A147= "", "",BDI_FuncList!$A147)</f>
        <v/>
      </c>
      <c r="B148" s="4"/>
      <c r="C148" s="4"/>
      <c r="D148" s="4"/>
      <c r="E148" s="7" t="str">
        <f t="shared" si="6"/>
        <v/>
      </c>
      <c r="F148" s="8" t="str">
        <f t="shared" si="7"/>
        <v/>
      </c>
      <c r="G148" s="10" t="str">
        <f t="shared" si="8"/>
        <v>0</v>
      </c>
    </row>
    <row r="149" spans="1:7">
      <c r="A149" s="17" t="str">
        <f>IF(BDI_FuncList!$A148= "", "",BDI_FuncList!$A148)</f>
        <v/>
      </c>
      <c r="B149" s="4"/>
      <c r="C149" s="4"/>
      <c r="D149" s="4"/>
      <c r="E149" s="7" t="str">
        <f t="shared" si="6"/>
        <v/>
      </c>
      <c r="F149" s="8" t="str">
        <f t="shared" si="7"/>
        <v/>
      </c>
      <c r="G149" s="10" t="str">
        <f t="shared" si="8"/>
        <v>0</v>
      </c>
    </row>
    <row r="150" spans="1:7">
      <c r="A150" s="17" t="str">
        <f>IF(BDI_FuncList!$A149= "", "",BDI_FuncList!$A149)</f>
        <v/>
      </c>
      <c r="B150" s="4"/>
      <c r="C150" s="4"/>
      <c r="D150" s="4"/>
      <c r="E150" s="7" t="str">
        <f t="shared" si="6"/>
        <v/>
      </c>
      <c r="F150" s="8" t="str">
        <f t="shared" si="7"/>
        <v/>
      </c>
      <c r="G150" s="10" t="str">
        <f t="shared" si="8"/>
        <v>0</v>
      </c>
    </row>
    <row r="151" spans="1:7">
      <c r="A151" s="17" t="str">
        <f>IF(BDI_FuncList!$A150= "", "",BDI_FuncList!$A150)</f>
        <v/>
      </c>
      <c r="B151" s="4"/>
      <c r="C151" s="4"/>
      <c r="D151" s="4"/>
      <c r="E151" s="7" t="str">
        <f t="shared" si="6"/>
        <v/>
      </c>
      <c r="F151" s="8" t="str">
        <f t="shared" si="7"/>
        <v/>
      </c>
      <c r="G151" s="10" t="str">
        <f t="shared" si="8"/>
        <v>0</v>
      </c>
    </row>
    <row r="152" spans="1:7">
      <c r="A152" s="17" t="str">
        <f>IF(BDI_FuncList!$A151= "", "",BDI_FuncList!$A151)</f>
        <v/>
      </c>
      <c r="B152" s="4"/>
      <c r="C152" s="4"/>
      <c r="D152" s="4"/>
      <c r="E152" s="7" t="str">
        <f t="shared" si="6"/>
        <v/>
      </c>
      <c r="F152" s="8" t="str">
        <f t="shared" si="7"/>
        <v/>
      </c>
      <c r="G152" s="10" t="str">
        <f t="shared" si="8"/>
        <v>0</v>
      </c>
    </row>
    <row r="153" spans="1:7">
      <c r="A153" s="17" t="str">
        <f>IF(BDI_FuncList!$A152= "", "",BDI_FuncList!$A152)</f>
        <v/>
      </c>
      <c r="B153" s="4"/>
      <c r="C153" s="4"/>
      <c r="D153" s="4"/>
      <c r="E153" s="7" t="str">
        <f t="shared" si="6"/>
        <v/>
      </c>
      <c r="F153" s="8" t="str">
        <f t="shared" si="7"/>
        <v/>
      </c>
      <c r="G153" s="10" t="str">
        <f t="shared" si="8"/>
        <v>0</v>
      </c>
    </row>
    <row r="154" spans="1:7">
      <c r="A154" s="17" t="str">
        <f>IF(BDI_FuncList!$A153= "", "",BDI_FuncList!$A153)</f>
        <v/>
      </c>
      <c r="B154" s="4"/>
      <c r="C154" s="4"/>
      <c r="D154" s="4"/>
      <c r="E154" s="7" t="str">
        <f t="shared" si="6"/>
        <v/>
      </c>
      <c r="F154" s="8" t="str">
        <f t="shared" si="7"/>
        <v/>
      </c>
      <c r="G154" s="10" t="str">
        <f t="shared" si="8"/>
        <v>0</v>
      </c>
    </row>
    <row r="155" spans="1:7">
      <c r="A155" s="17" t="str">
        <f>IF(BDI_FuncList!$A154= "", "",BDI_FuncList!$A154)</f>
        <v/>
      </c>
      <c r="B155" s="4"/>
      <c r="C155" s="4"/>
      <c r="D155" s="4"/>
      <c r="E155" s="7" t="str">
        <f t="shared" si="6"/>
        <v/>
      </c>
      <c r="F155" s="8" t="str">
        <f t="shared" si="7"/>
        <v/>
      </c>
      <c r="G155" s="10" t="str">
        <f t="shared" si="8"/>
        <v>0</v>
      </c>
    </row>
    <row r="156" spans="1:7">
      <c r="A156" s="17" t="str">
        <f>IF(BDI_FuncList!$A155= "", "",BDI_FuncList!$A155)</f>
        <v/>
      </c>
      <c r="B156" s="4"/>
      <c r="C156" s="4"/>
      <c r="D156" s="4"/>
      <c r="E156" s="7" t="str">
        <f t="shared" si="6"/>
        <v/>
      </c>
      <c r="F156" s="8" t="str">
        <f t="shared" si="7"/>
        <v/>
      </c>
      <c r="G156" s="10" t="str">
        <f t="shared" si="8"/>
        <v>0</v>
      </c>
    </row>
    <row r="157" spans="1:7">
      <c r="A157" s="17" t="str">
        <f>IF(BDI_FuncList!$A156= "", "",BDI_FuncList!$A156)</f>
        <v/>
      </c>
      <c r="B157" s="4"/>
      <c r="C157" s="4"/>
      <c r="D157" s="4"/>
      <c r="E157" s="7" t="str">
        <f t="shared" si="6"/>
        <v/>
      </c>
      <c r="F157" s="8" t="str">
        <f t="shared" si="7"/>
        <v/>
      </c>
      <c r="G157" s="10" t="str">
        <f t="shared" si="8"/>
        <v>0</v>
      </c>
    </row>
    <row r="158" spans="1:7">
      <c r="A158" s="17" t="str">
        <f>IF(BDI_FuncList!$A157= "", "",BDI_FuncList!$A157)</f>
        <v/>
      </c>
      <c r="B158" s="4"/>
      <c r="C158" s="4"/>
      <c r="D158" s="4"/>
      <c r="E158" s="7" t="str">
        <f t="shared" si="6"/>
        <v/>
      </c>
      <c r="F158" s="8" t="str">
        <f t="shared" si="7"/>
        <v/>
      </c>
      <c r="G158" s="10" t="str">
        <f t="shared" si="8"/>
        <v>0</v>
      </c>
    </row>
    <row r="159" spans="1:7">
      <c r="A159" s="17" t="str">
        <f>IF(BDI_FuncList!$A158= "", "",BDI_FuncList!$A158)</f>
        <v/>
      </c>
      <c r="B159" s="4"/>
      <c r="C159" s="4"/>
      <c r="D159" s="4"/>
      <c r="E159" s="7" t="str">
        <f t="shared" si="6"/>
        <v/>
      </c>
      <c r="F159" s="8" t="str">
        <f t="shared" si="7"/>
        <v/>
      </c>
      <c r="G159" s="10" t="str">
        <f t="shared" si="8"/>
        <v>0</v>
      </c>
    </row>
    <row r="160" spans="1:7">
      <c r="A160" s="17" t="str">
        <f>IF(BDI_FuncList!$A159= "", "",BDI_FuncList!$A159)</f>
        <v/>
      </c>
      <c r="B160" s="4"/>
      <c r="C160" s="4"/>
      <c r="D160" s="4"/>
      <c r="E160" s="7" t="str">
        <f t="shared" si="6"/>
        <v/>
      </c>
      <c r="F160" s="8" t="str">
        <f t="shared" si="7"/>
        <v/>
      </c>
      <c r="G160" s="10" t="str">
        <f t="shared" si="8"/>
        <v>0</v>
      </c>
    </row>
    <row r="161" spans="1:7">
      <c r="A161" s="17" t="str">
        <f>IF(BDI_FuncList!$A160= "", "",BDI_FuncList!$A160)</f>
        <v/>
      </c>
      <c r="B161" s="4"/>
      <c r="C161" s="4"/>
      <c r="D161" s="4"/>
      <c r="E161" s="7" t="str">
        <f t="shared" si="6"/>
        <v/>
      </c>
      <c r="F161" s="8" t="str">
        <f t="shared" si="7"/>
        <v/>
      </c>
      <c r="G161" s="10" t="str">
        <f t="shared" si="8"/>
        <v>0</v>
      </c>
    </row>
    <row r="162" spans="1:7">
      <c r="A162" s="17" t="str">
        <f>IF(BDI_FuncList!$A161= "", "",BDI_FuncList!$A161)</f>
        <v/>
      </c>
      <c r="B162" s="4"/>
      <c r="C162" s="4"/>
      <c r="D162" s="4"/>
      <c r="E162" s="7" t="str">
        <f t="shared" si="6"/>
        <v/>
      </c>
      <c r="F162" s="8" t="str">
        <f t="shared" si="7"/>
        <v/>
      </c>
      <c r="G162" s="10" t="str">
        <f t="shared" si="8"/>
        <v>0</v>
      </c>
    </row>
    <row r="163" spans="1:7">
      <c r="A163" s="17" t="str">
        <f>IF(BDI_FuncList!$A162= "", "",BDI_FuncList!$A162)</f>
        <v/>
      </c>
      <c r="B163" s="4"/>
      <c r="C163" s="4"/>
      <c r="D163" s="4"/>
      <c r="E163" s="7" t="str">
        <f t="shared" si="6"/>
        <v/>
      </c>
      <c r="F163" s="8" t="str">
        <f t="shared" si="7"/>
        <v/>
      </c>
      <c r="G163" s="10" t="str">
        <f t="shared" si="8"/>
        <v>0</v>
      </c>
    </row>
    <row r="164" spans="1:7">
      <c r="A164" s="17" t="str">
        <f>IF(BDI_FuncList!$A163= "", "",BDI_FuncList!$A163)</f>
        <v/>
      </c>
      <c r="B164" s="4"/>
      <c r="C164" s="4"/>
      <c r="D164" s="4"/>
      <c r="E164" s="7" t="str">
        <f t="shared" si="6"/>
        <v/>
      </c>
      <c r="F164" s="8" t="str">
        <f t="shared" si="7"/>
        <v/>
      </c>
      <c r="G164" s="10" t="str">
        <f t="shared" si="8"/>
        <v>0</v>
      </c>
    </row>
    <row r="165" spans="1:7">
      <c r="A165" s="17" t="str">
        <f>IF(BDI_FuncList!$A164= "", "",BDI_FuncList!$A164)</f>
        <v/>
      </c>
      <c r="B165" s="4"/>
      <c r="C165" s="4"/>
      <c r="D165" s="4"/>
      <c r="E165" s="7" t="str">
        <f t="shared" si="6"/>
        <v/>
      </c>
      <c r="F165" s="8" t="str">
        <f t="shared" si="7"/>
        <v/>
      </c>
      <c r="G165" s="10" t="str">
        <f t="shared" si="8"/>
        <v>0</v>
      </c>
    </row>
    <row r="166" spans="1:7">
      <c r="A166" s="17" t="str">
        <f>IF(BDI_FuncList!$A165= "", "",BDI_FuncList!$A165)</f>
        <v/>
      </c>
      <c r="B166" s="4"/>
      <c r="C166" s="4"/>
      <c r="D166" s="4"/>
      <c r="E166" s="7" t="str">
        <f t="shared" si="6"/>
        <v/>
      </c>
      <c r="F166" s="8" t="str">
        <f t="shared" si="7"/>
        <v/>
      </c>
      <c r="G166" s="10" t="str">
        <f t="shared" si="8"/>
        <v>0</v>
      </c>
    </row>
    <row r="167" spans="1:7">
      <c r="A167" s="17" t="str">
        <f>IF(BDI_FuncList!$A166= "", "",BDI_FuncList!$A166)</f>
        <v/>
      </c>
      <c r="B167" s="4"/>
      <c r="C167" s="4"/>
      <c r="D167" s="4"/>
      <c r="E167" s="7" t="str">
        <f t="shared" si="6"/>
        <v/>
      </c>
      <c r="F167" s="8" t="str">
        <f t="shared" si="7"/>
        <v/>
      </c>
      <c r="G167" s="10" t="str">
        <f t="shared" si="8"/>
        <v>0</v>
      </c>
    </row>
    <row r="168" spans="1:7">
      <c r="A168" s="17" t="str">
        <f>IF(BDI_FuncList!$A167= "", "",BDI_FuncList!$A167)</f>
        <v/>
      </c>
      <c r="B168" s="4"/>
      <c r="C168" s="4"/>
      <c r="D168" s="4"/>
      <c r="E168" s="7" t="str">
        <f t="shared" si="6"/>
        <v/>
      </c>
      <c r="F168" s="8" t="str">
        <f t="shared" si="7"/>
        <v/>
      </c>
      <c r="G168" s="10" t="str">
        <f t="shared" si="8"/>
        <v>0</v>
      </c>
    </row>
    <row r="169" spans="1:7">
      <c r="A169" s="17" t="str">
        <f>IF(BDI_FuncList!$A168= "", "",BDI_FuncList!$A168)</f>
        <v/>
      </c>
      <c r="B169" s="4"/>
      <c r="C169" s="4"/>
      <c r="D169" s="4"/>
      <c r="E169" s="7" t="str">
        <f t="shared" si="6"/>
        <v/>
      </c>
      <c r="F169" s="8" t="str">
        <f t="shared" si="7"/>
        <v/>
      </c>
      <c r="G169" s="10" t="str">
        <f t="shared" si="8"/>
        <v>0</v>
      </c>
    </row>
    <row r="170" spans="1:7">
      <c r="A170" s="17" t="str">
        <f>IF(BDI_FuncList!$A169= "", "",BDI_FuncList!$A169)</f>
        <v/>
      </c>
      <c r="B170" s="4"/>
      <c r="C170" s="4"/>
      <c r="D170" s="4"/>
      <c r="E170" s="7" t="str">
        <f t="shared" si="6"/>
        <v/>
      </c>
      <c r="F170" s="8" t="str">
        <f t="shared" si="7"/>
        <v/>
      </c>
      <c r="G170" s="10" t="str">
        <f t="shared" si="8"/>
        <v>0</v>
      </c>
    </row>
    <row r="171" spans="1:7">
      <c r="A171" s="17" t="str">
        <f>IF(BDI_FuncList!$A170= "", "",BDI_FuncList!$A170)</f>
        <v/>
      </c>
      <c r="B171" s="4"/>
      <c r="C171" s="4"/>
      <c r="D171" s="4"/>
      <c r="E171" s="7" t="str">
        <f t="shared" si="6"/>
        <v/>
      </c>
      <c r="F171" s="8" t="str">
        <f t="shared" si="7"/>
        <v/>
      </c>
      <c r="G171" s="10" t="str">
        <f t="shared" si="8"/>
        <v>0</v>
      </c>
    </row>
    <row r="172" spans="1:7">
      <c r="A172" s="17" t="str">
        <f>IF(BDI_FuncList!$A171= "", "",BDI_FuncList!$A171)</f>
        <v/>
      </c>
      <c r="B172" s="4"/>
      <c r="C172" s="4"/>
      <c r="D172" s="4"/>
      <c r="E172" s="7" t="str">
        <f t="shared" si="6"/>
        <v/>
      </c>
      <c r="F172" s="8" t="str">
        <f t="shared" si="7"/>
        <v/>
      </c>
      <c r="G172" s="10" t="str">
        <f t="shared" si="8"/>
        <v>0</v>
      </c>
    </row>
    <row r="173" spans="1:7">
      <c r="A173" s="17" t="str">
        <f>IF(BDI_FuncList!$A172= "", "",BDI_FuncList!$A172)</f>
        <v/>
      </c>
      <c r="B173" s="4"/>
      <c r="C173" s="4"/>
      <c r="D173" s="4"/>
      <c r="E173" s="7" t="str">
        <f t="shared" si="6"/>
        <v/>
      </c>
      <c r="F173" s="8" t="str">
        <f t="shared" si="7"/>
        <v/>
      </c>
      <c r="G173" s="10" t="str">
        <f t="shared" si="8"/>
        <v>0</v>
      </c>
    </row>
    <row r="174" spans="1:7">
      <c r="A174" s="17" t="str">
        <f>IF(BDI_FuncList!$A173= "", "",BDI_FuncList!$A173)</f>
        <v/>
      </c>
      <c r="B174" s="4"/>
      <c r="C174" s="4"/>
      <c r="D174" s="4"/>
      <c r="E174" s="7" t="str">
        <f t="shared" si="6"/>
        <v/>
      </c>
      <c r="F174" s="8" t="str">
        <f t="shared" si="7"/>
        <v/>
      </c>
      <c r="G174" s="10" t="str">
        <f t="shared" si="8"/>
        <v>0</v>
      </c>
    </row>
    <row r="175" spans="1:7">
      <c r="A175" s="17" t="str">
        <f>IF(BDI_FuncList!$A174= "", "",BDI_FuncList!$A174)</f>
        <v/>
      </c>
      <c r="B175" s="4"/>
      <c r="C175" s="4"/>
      <c r="D175" s="4"/>
      <c r="E175" s="7" t="str">
        <f t="shared" si="6"/>
        <v/>
      </c>
      <c r="F175" s="8" t="str">
        <f t="shared" si="7"/>
        <v/>
      </c>
      <c r="G175" s="10" t="str">
        <f t="shared" si="8"/>
        <v>0</v>
      </c>
    </row>
    <row r="176" spans="1:7">
      <c r="A176" s="17" t="str">
        <f>IF(BDI_FuncList!$A175= "", "",BDI_FuncList!$A175)</f>
        <v/>
      </c>
      <c r="B176" s="4"/>
      <c r="C176" s="4"/>
      <c r="D176" s="4"/>
      <c r="E176" s="7" t="str">
        <f t="shared" si="6"/>
        <v/>
      </c>
      <c r="F176" s="8" t="str">
        <f t="shared" si="7"/>
        <v/>
      </c>
      <c r="G176" s="10" t="str">
        <f t="shared" si="8"/>
        <v>0</v>
      </c>
    </row>
    <row r="177" spans="1:7">
      <c r="A177" s="17" t="str">
        <f>IF(BDI_FuncList!$A176= "", "",BDI_FuncList!$A176)</f>
        <v/>
      </c>
      <c r="B177" s="4"/>
      <c r="C177" s="4"/>
      <c r="D177" s="4"/>
      <c r="E177" s="7" t="str">
        <f t="shared" si="6"/>
        <v/>
      </c>
      <c r="F177" s="8" t="str">
        <f t="shared" si="7"/>
        <v/>
      </c>
      <c r="G177" s="10" t="str">
        <f t="shared" si="8"/>
        <v>0</v>
      </c>
    </row>
    <row r="178" spans="1:7">
      <c r="A178" s="17" t="str">
        <f>IF(BDI_FuncList!$A177= "", "",BDI_FuncList!$A177)</f>
        <v/>
      </c>
      <c r="B178" s="4"/>
      <c r="C178" s="4"/>
      <c r="D178" s="4"/>
      <c r="E178" s="7" t="str">
        <f t="shared" si="6"/>
        <v/>
      </c>
      <c r="F178" s="8" t="str">
        <f t="shared" si="7"/>
        <v/>
      </c>
      <c r="G178" s="10" t="str">
        <f t="shared" si="8"/>
        <v>0</v>
      </c>
    </row>
    <row r="179" spans="1:7">
      <c r="A179" s="17" t="str">
        <f>IF(BDI_FuncList!$A178= "", "",BDI_FuncList!$A178)</f>
        <v/>
      </c>
      <c r="B179" s="4"/>
      <c r="C179" s="4"/>
      <c r="D179" s="4"/>
      <c r="E179" s="7" t="str">
        <f t="shared" si="6"/>
        <v/>
      </c>
      <c r="F179" s="8" t="str">
        <f t="shared" si="7"/>
        <v/>
      </c>
      <c r="G179" s="10" t="str">
        <f t="shared" si="8"/>
        <v>0</v>
      </c>
    </row>
    <row r="180" spans="1:7">
      <c r="A180" s="17" t="str">
        <f>IF(BDI_FuncList!$A179= "", "",BDI_FuncList!$A179)</f>
        <v/>
      </c>
      <c r="B180" s="4"/>
      <c r="C180" s="4"/>
      <c r="D180" s="4"/>
      <c r="E180" s="7" t="str">
        <f t="shared" si="6"/>
        <v/>
      </c>
      <c r="F180" s="8" t="str">
        <f t="shared" si="7"/>
        <v/>
      </c>
      <c r="G180" s="10" t="str">
        <f t="shared" si="8"/>
        <v>0</v>
      </c>
    </row>
    <row r="181" spans="1:7">
      <c r="A181" s="17" t="str">
        <f>IF(BDI_FuncList!$A180= "", "",BDI_FuncList!$A180)</f>
        <v/>
      </c>
      <c r="B181" s="4"/>
      <c r="C181" s="4"/>
      <c r="D181" s="4"/>
      <c r="E181" s="7" t="str">
        <f t="shared" si="6"/>
        <v/>
      </c>
      <c r="F181" s="8" t="str">
        <f t="shared" si="7"/>
        <v/>
      </c>
      <c r="G181" s="10" t="str">
        <f t="shared" si="8"/>
        <v>0</v>
      </c>
    </row>
    <row r="182" spans="1:7">
      <c r="A182" s="17" t="str">
        <f>IF(BDI_FuncList!$A181= "", "",BDI_FuncList!$A181)</f>
        <v/>
      </c>
      <c r="B182" s="4"/>
      <c r="C182" s="4"/>
      <c r="D182" s="4"/>
      <c r="E182" s="7" t="str">
        <f t="shared" si="6"/>
        <v/>
      </c>
      <c r="F182" s="8" t="str">
        <f t="shared" si="7"/>
        <v/>
      </c>
      <c r="G182" s="10" t="str">
        <f t="shared" si="8"/>
        <v>0</v>
      </c>
    </row>
    <row r="183" spans="1:7">
      <c r="A183" s="17" t="str">
        <f>IF(BDI_FuncList!$A182= "", "",BDI_FuncList!$A182)</f>
        <v/>
      </c>
      <c r="B183" s="4"/>
      <c r="C183" s="4"/>
      <c r="D183" s="4"/>
      <c r="E183" s="7" t="str">
        <f t="shared" si="6"/>
        <v/>
      </c>
      <c r="F183" s="8" t="str">
        <f t="shared" si="7"/>
        <v/>
      </c>
      <c r="G183" s="10" t="str">
        <f t="shared" si="8"/>
        <v>0</v>
      </c>
    </row>
    <row r="184" spans="1:7">
      <c r="A184" s="17" t="str">
        <f>IF(BDI_FuncList!$A183= "", "",BDI_FuncList!$A183)</f>
        <v/>
      </c>
      <c r="B184" s="4"/>
      <c r="C184" s="4"/>
      <c r="D184" s="4"/>
      <c r="E184" s="7" t="str">
        <f t="shared" si="6"/>
        <v/>
      </c>
      <c r="F184" s="8" t="str">
        <f t="shared" si="7"/>
        <v/>
      </c>
      <c r="G184" s="10" t="str">
        <f t="shared" si="8"/>
        <v>0</v>
      </c>
    </row>
    <row r="185" spans="1:7">
      <c r="A185" s="17" t="str">
        <f>IF(BDI_FuncList!$A184= "", "",BDI_FuncList!$A184)</f>
        <v/>
      </c>
      <c r="B185" s="4"/>
      <c r="C185" s="4"/>
      <c r="D185" s="4"/>
      <c r="E185" s="7" t="str">
        <f t="shared" si="6"/>
        <v/>
      </c>
      <c r="F185" s="8" t="str">
        <f t="shared" si="7"/>
        <v/>
      </c>
      <c r="G185" s="10" t="str">
        <f t="shared" si="8"/>
        <v>0</v>
      </c>
    </row>
    <row r="186" spans="1:7">
      <c r="A186" s="17" t="str">
        <f>IF(BDI_FuncList!$A185= "", "",BDI_FuncList!$A185)</f>
        <v/>
      </c>
      <c r="B186" s="4"/>
      <c r="C186" s="4"/>
      <c r="D186" s="4"/>
      <c r="E186" s="7" t="str">
        <f t="shared" si="6"/>
        <v/>
      </c>
      <c r="F186" s="8" t="str">
        <f t="shared" si="7"/>
        <v/>
      </c>
      <c r="G186" s="10" t="str">
        <f t="shared" si="8"/>
        <v>0</v>
      </c>
    </row>
    <row r="187" spans="1:7">
      <c r="A187" s="17" t="str">
        <f>IF(BDI_FuncList!$A186= "", "",BDI_FuncList!$A186)</f>
        <v/>
      </c>
      <c r="B187" s="4"/>
      <c r="C187" s="4"/>
      <c r="D187" s="4"/>
      <c r="E187" s="7" t="str">
        <f t="shared" si="6"/>
        <v/>
      </c>
      <c r="F187" s="8" t="str">
        <f t="shared" si="7"/>
        <v/>
      </c>
      <c r="G187" s="10" t="str">
        <f t="shared" si="8"/>
        <v>0</v>
      </c>
    </row>
    <row r="188" spans="1:7">
      <c r="A188" s="17" t="str">
        <f>IF(BDI_FuncList!$A187= "", "",BDI_FuncList!$A187)</f>
        <v/>
      </c>
      <c r="B188" s="4"/>
      <c r="C188" s="4"/>
      <c r="D188" s="4"/>
      <c r="E188" s="7" t="str">
        <f t="shared" si="6"/>
        <v/>
      </c>
      <c r="F188" s="8" t="str">
        <f t="shared" si="7"/>
        <v/>
      </c>
      <c r="G188" s="10" t="str">
        <f t="shared" si="8"/>
        <v>0</v>
      </c>
    </row>
    <row r="189" spans="1:7">
      <c r="A189" s="17" t="str">
        <f>IF(BDI_FuncList!$A188= "", "",BDI_FuncList!$A188)</f>
        <v/>
      </c>
      <c r="B189" s="4"/>
      <c r="C189" s="4"/>
      <c r="D189" s="4"/>
      <c r="E189" s="7" t="str">
        <f t="shared" si="6"/>
        <v/>
      </c>
      <c r="F189" s="8" t="str">
        <f t="shared" si="7"/>
        <v/>
      </c>
      <c r="G189" s="10" t="str">
        <f t="shared" si="8"/>
        <v>0</v>
      </c>
    </row>
    <row r="190" spans="1:7">
      <c r="A190" s="17" t="str">
        <f>IF(BDI_FuncList!$A189= "", "",BDI_FuncList!$A189)</f>
        <v/>
      </c>
      <c r="B190" s="4"/>
      <c r="C190" s="4"/>
      <c r="D190" s="4"/>
      <c r="E190" s="7" t="str">
        <f t="shared" si="6"/>
        <v/>
      </c>
      <c r="F190" s="8" t="str">
        <f t="shared" si="7"/>
        <v/>
      </c>
      <c r="G190" s="10" t="str">
        <f t="shared" si="8"/>
        <v>0</v>
      </c>
    </row>
    <row r="191" spans="1:7">
      <c r="A191" s="17" t="str">
        <f>IF(BDI_FuncList!$A190= "", "",BDI_FuncList!$A190)</f>
        <v/>
      </c>
      <c r="B191" s="4"/>
      <c r="C191" s="4"/>
      <c r="D191" s="4"/>
      <c r="E191" s="7" t="str">
        <f t="shared" si="6"/>
        <v/>
      </c>
      <c r="F191" s="8" t="str">
        <f t="shared" si="7"/>
        <v/>
      </c>
      <c r="G191" s="10" t="str">
        <f t="shared" si="8"/>
        <v>0</v>
      </c>
    </row>
    <row r="192" spans="1:7">
      <c r="A192" s="17" t="str">
        <f>IF(BDI_FuncList!$A191= "", "",BDI_FuncList!$A191)</f>
        <v/>
      </c>
      <c r="B192" s="4"/>
      <c r="C192" s="4"/>
      <c r="D192" s="4"/>
      <c r="E192" s="7" t="str">
        <f t="shared" si="6"/>
        <v/>
      </c>
      <c r="F192" s="8" t="str">
        <f t="shared" si="7"/>
        <v/>
      </c>
      <c r="G192" s="10" t="str">
        <f t="shared" si="8"/>
        <v>0</v>
      </c>
    </row>
    <row r="193" spans="1:7">
      <c r="A193" s="17" t="str">
        <f>IF(BDI_FuncList!$A192= "", "",BDI_FuncList!$A192)</f>
        <v/>
      </c>
      <c r="B193" s="4"/>
      <c r="C193" s="4"/>
      <c r="D193" s="4"/>
      <c r="E193" s="7" t="str">
        <f t="shared" si="6"/>
        <v/>
      </c>
      <c r="F193" s="8" t="str">
        <f t="shared" si="7"/>
        <v/>
      </c>
      <c r="G193" s="10" t="str">
        <f t="shared" si="8"/>
        <v>0</v>
      </c>
    </row>
    <row r="194" spans="1:7">
      <c r="A194" s="17" t="str">
        <f>IF(BDI_FuncList!$A193= "", "",BDI_FuncList!$A193)</f>
        <v/>
      </c>
      <c r="B194" s="4"/>
      <c r="C194" s="4"/>
      <c r="D194" s="4"/>
      <c r="E194" s="7" t="str">
        <f t="shared" si="6"/>
        <v/>
      </c>
      <c r="F194" s="8" t="str">
        <f t="shared" si="7"/>
        <v/>
      </c>
      <c r="G194" s="10" t="str">
        <f t="shared" si="8"/>
        <v>0</v>
      </c>
    </row>
    <row r="195" spans="1:7">
      <c r="A195" s="17" t="str">
        <f>IF(BDI_FuncList!$A194= "", "",BDI_FuncList!$A194)</f>
        <v/>
      </c>
      <c r="B195" s="4"/>
      <c r="C195" s="4"/>
      <c r="D195" s="4"/>
      <c r="E195" s="7" t="str">
        <f t="shared" si="6"/>
        <v/>
      </c>
      <c r="F195" s="8" t="str">
        <f t="shared" si="7"/>
        <v/>
      </c>
      <c r="G195" s="10" t="str">
        <f t="shared" si="8"/>
        <v>0</v>
      </c>
    </row>
    <row r="196" spans="1:7">
      <c r="A196" s="17" t="str">
        <f>IF(BDI_FuncList!$A195= "", "",BDI_FuncList!$A195)</f>
        <v/>
      </c>
      <c r="B196" s="4"/>
      <c r="C196" s="4"/>
      <c r="D196" s="4"/>
      <c r="E196" s="7" t="str">
        <f t="shared" si="6"/>
        <v/>
      </c>
      <c r="F196" s="8" t="str">
        <f t="shared" si="7"/>
        <v/>
      </c>
      <c r="G196" s="10" t="str">
        <f t="shared" si="8"/>
        <v>0</v>
      </c>
    </row>
    <row r="197" spans="1:7">
      <c r="A197" s="17" t="str">
        <f>IF(BDI_FuncList!$A196= "", "",BDI_FuncList!$A196)</f>
        <v/>
      </c>
      <c r="B197" s="4"/>
      <c r="C197" s="4"/>
      <c r="D197" s="4"/>
      <c r="E197" s="7" t="str">
        <f t="shared" ref="E197:E206" si="9">IF((B197+4*C197+D197)/6 =0,"",(B197+4*C197+D197)/6)</f>
        <v/>
      </c>
      <c r="F197" s="8" t="str">
        <f t="shared" ref="F197:F206" si="10">IF(E197&lt;&gt;"",((D197-B197)/6)/E197,"")</f>
        <v/>
      </c>
      <c r="G197" s="10" t="str">
        <f t="shared" ref="G197:G206" si="11">IF(E197="","0",E197)</f>
        <v>0</v>
      </c>
    </row>
    <row r="198" spans="1:7">
      <c r="A198" s="17" t="str">
        <f>IF(BDI_FuncList!$A197= "", "",BDI_FuncList!$A197)</f>
        <v/>
      </c>
      <c r="B198" s="4"/>
      <c r="C198" s="4"/>
      <c r="D198" s="4"/>
      <c r="E198" s="7" t="str">
        <f t="shared" si="9"/>
        <v/>
      </c>
      <c r="F198" s="8" t="str">
        <f t="shared" si="10"/>
        <v/>
      </c>
      <c r="G198" s="10" t="str">
        <f t="shared" si="11"/>
        <v>0</v>
      </c>
    </row>
    <row r="199" spans="1:7">
      <c r="A199" s="17" t="str">
        <f>IF(BDI_FuncList!$A198= "", "",BDI_FuncList!$A198)</f>
        <v/>
      </c>
      <c r="B199" s="4"/>
      <c r="C199" s="4"/>
      <c r="D199" s="4"/>
      <c r="E199" s="7" t="str">
        <f t="shared" si="9"/>
        <v/>
      </c>
      <c r="F199" s="8" t="str">
        <f t="shared" si="10"/>
        <v/>
      </c>
      <c r="G199" s="10" t="str">
        <f t="shared" si="11"/>
        <v>0</v>
      </c>
    </row>
    <row r="200" spans="1:7">
      <c r="A200" s="17" t="str">
        <f>IF(BDI_FuncList!$A199= "", "",BDI_FuncList!$A199)</f>
        <v/>
      </c>
      <c r="B200" s="4"/>
      <c r="C200" s="4"/>
      <c r="D200" s="4"/>
      <c r="E200" s="7" t="str">
        <f t="shared" si="9"/>
        <v/>
      </c>
      <c r="F200" s="8" t="str">
        <f t="shared" si="10"/>
        <v/>
      </c>
      <c r="G200" s="10" t="str">
        <f t="shared" si="11"/>
        <v>0</v>
      </c>
    </row>
    <row r="201" spans="1:7">
      <c r="A201" s="17" t="str">
        <f>IF(BDI_FuncList!$A200= "", "",BDI_FuncList!$A200)</f>
        <v/>
      </c>
      <c r="B201" s="4"/>
      <c r="C201" s="4"/>
      <c r="D201" s="4"/>
      <c r="E201" s="7" t="str">
        <f t="shared" si="9"/>
        <v/>
      </c>
      <c r="F201" s="8" t="str">
        <f t="shared" si="10"/>
        <v/>
      </c>
      <c r="G201" s="10" t="str">
        <f t="shared" si="11"/>
        <v>0</v>
      </c>
    </row>
    <row r="202" spans="1:7">
      <c r="A202" s="17" t="str">
        <f>IF(BDI_FuncList!$A201= "", "",BDI_FuncList!$A201)</f>
        <v/>
      </c>
      <c r="B202" s="4"/>
      <c r="C202" s="4"/>
      <c r="D202" s="4"/>
      <c r="E202" s="7" t="str">
        <f t="shared" si="9"/>
        <v/>
      </c>
      <c r="F202" s="8" t="str">
        <f t="shared" si="10"/>
        <v/>
      </c>
      <c r="G202" s="10" t="str">
        <f t="shared" si="11"/>
        <v>0</v>
      </c>
    </row>
    <row r="203" spans="1:7">
      <c r="A203" s="17" t="str">
        <f>IF(BDI_FuncList!$A202= "", "",BDI_FuncList!$A202)</f>
        <v/>
      </c>
      <c r="B203" s="4"/>
      <c r="C203" s="4"/>
      <c r="D203" s="4"/>
      <c r="E203" s="7" t="str">
        <f t="shared" si="9"/>
        <v/>
      </c>
      <c r="F203" s="8" t="str">
        <f t="shared" si="10"/>
        <v/>
      </c>
      <c r="G203" s="10" t="str">
        <f t="shared" si="11"/>
        <v>0</v>
      </c>
    </row>
    <row r="204" spans="1:7">
      <c r="A204" s="17" t="str">
        <f>IF(BDI_FuncList!$A203= "", "",BDI_FuncList!$A203)</f>
        <v/>
      </c>
      <c r="B204" s="4"/>
      <c r="C204" s="4"/>
      <c r="D204" s="4"/>
      <c r="E204" s="7" t="str">
        <f t="shared" si="9"/>
        <v/>
      </c>
      <c r="F204" s="8" t="str">
        <f t="shared" si="10"/>
        <v/>
      </c>
      <c r="G204" s="10" t="str">
        <f t="shared" si="11"/>
        <v>0</v>
      </c>
    </row>
    <row r="205" spans="1:7">
      <c r="A205" s="17" t="str">
        <f>IF(BDI_FuncList!$A204= "", "",BDI_FuncList!$A204)</f>
        <v/>
      </c>
      <c r="B205" s="4"/>
      <c r="C205" s="4"/>
      <c r="D205" s="4"/>
      <c r="E205" s="7" t="str">
        <f t="shared" si="9"/>
        <v/>
      </c>
      <c r="F205" s="8" t="str">
        <f t="shared" si="10"/>
        <v/>
      </c>
      <c r="G205" s="10" t="str">
        <f t="shared" si="11"/>
        <v>0</v>
      </c>
    </row>
    <row r="206" spans="1:7">
      <c r="A206" s="17" t="str">
        <f>IF(BDI_FuncList!$A205= "", "",BDI_FuncList!$A205)</f>
        <v/>
      </c>
      <c r="B206" s="4"/>
      <c r="C206" s="4"/>
      <c r="D206" s="4"/>
      <c r="E206" s="7" t="str">
        <f t="shared" si="9"/>
        <v/>
      </c>
      <c r="F206" s="8" t="str">
        <f t="shared" si="10"/>
        <v/>
      </c>
      <c r="G206" s="10" t="str">
        <f t="shared" si="11"/>
        <v>0</v>
      </c>
    </row>
  </sheetData>
  <sheetProtection sheet="1" objects="1" scenarios="1"/>
  <mergeCells count="1">
    <mergeCell ref="A2:G2"/>
  </mergeCells>
  <phoneticPr fontId="1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E216"/>
  <sheetViews>
    <sheetView showGridLines="0" workbookViewId="0">
      <selection activeCell="C25" sqref="C25"/>
    </sheetView>
  </sheetViews>
  <sheetFormatPr defaultColWidth="10.28515625" defaultRowHeight="14.25"/>
  <cols>
    <col min="1" max="1" width="2.42578125" style="23" customWidth="1"/>
    <col min="2" max="2" width="27.140625" style="23" customWidth="1"/>
    <col min="3" max="3" width="26.85546875" style="23" customWidth="1"/>
    <col min="4" max="4" width="24.85546875" style="24" customWidth="1"/>
    <col min="5" max="5" width="17.140625" style="24" customWidth="1"/>
    <col min="6" max="16384" width="10.28515625" style="23"/>
  </cols>
  <sheetData>
    <row r="1" spans="2:5">
      <c r="B1" s="52" t="s">
        <v>46</v>
      </c>
      <c r="C1" s="41" t="s">
        <v>38</v>
      </c>
    </row>
    <row r="2" spans="2:5">
      <c r="B2" s="144" t="s">
        <v>103</v>
      </c>
      <c r="C2" s="145"/>
      <c r="D2" s="145"/>
      <c r="E2" s="146"/>
    </row>
    <row r="3" spans="2:5">
      <c r="B3" s="71" t="s">
        <v>68</v>
      </c>
      <c r="C3" s="20">
        <v>2</v>
      </c>
      <c r="D3" s="71" t="s">
        <v>69</v>
      </c>
      <c r="E3" s="69">
        <f>IF(OR(C7="",C3=""),"",C7/C3)</f>
        <v>6.4999999999999991</v>
      </c>
    </row>
    <row r="4" spans="2:5">
      <c r="B4" s="71" t="s">
        <v>66</v>
      </c>
      <c r="C4" s="20">
        <v>0.5</v>
      </c>
      <c r="D4" s="71" t="s">
        <v>70</v>
      </c>
      <c r="E4" s="70">
        <f>IF(OR(E3="",C4=0),"",E3/C4)</f>
        <v>12.999999999999998</v>
      </c>
    </row>
    <row r="5" spans="2:5">
      <c r="B5" s="147" t="s">
        <v>90</v>
      </c>
      <c r="C5" s="148"/>
      <c r="D5" s="148"/>
      <c r="E5" s="149"/>
    </row>
    <row r="6" spans="2:5">
      <c r="B6" s="71" t="s">
        <v>67</v>
      </c>
      <c r="C6" s="20">
        <v>25</v>
      </c>
      <c r="D6" s="71" t="s">
        <v>71</v>
      </c>
      <c r="E6" s="70">
        <f>IF(SUM(D14:D216)=0,"",SUM(D14:D216))</f>
        <v>0.52</v>
      </c>
    </row>
    <row r="7" spans="2:5">
      <c r="B7" s="71" t="s">
        <v>49</v>
      </c>
      <c r="C7" s="69">
        <f>IF(SUM(C14:C216)=0,"",SUM(C14:C216))</f>
        <v>12.999999999999998</v>
      </c>
      <c r="D7" s="71" t="s">
        <v>74</v>
      </c>
      <c r="E7" s="70">
        <f>IF(SUM(E14:E216)=0,"",SUM(E14:E216))</f>
        <v>0.56333333333333324</v>
      </c>
    </row>
    <row r="8" spans="2:5">
      <c r="B8" s="71" t="s">
        <v>50</v>
      </c>
      <c r="C8" s="20">
        <v>0</v>
      </c>
      <c r="D8" s="71" t="s">
        <v>73</v>
      </c>
      <c r="E8" s="70">
        <f>IF(OR(C8="",C9="",C10=""),"",C8/C9*C10)</f>
        <v>0</v>
      </c>
    </row>
    <row r="9" spans="2:5">
      <c r="B9" s="71" t="s">
        <v>72</v>
      </c>
      <c r="C9" s="20">
        <v>30</v>
      </c>
      <c r="D9" s="71" t="s">
        <v>75</v>
      </c>
      <c r="E9" s="70">
        <f>IF(SUM(E7:E8)=0,"",SUM(E7:E8))</f>
        <v>0.56333333333333324</v>
      </c>
    </row>
    <row r="10" spans="2:5">
      <c r="B10" s="71" t="s">
        <v>52</v>
      </c>
      <c r="C10" s="53">
        <v>1.3</v>
      </c>
      <c r="D10" s="71" t="s">
        <v>51</v>
      </c>
      <c r="E10" s="69">
        <f>IF(SUM(C8,C7)=0,"",SUM(C8,C7))</f>
        <v>12.999999999999998</v>
      </c>
    </row>
    <row r="11" spans="2:5">
      <c r="B11" s="71" t="s">
        <v>54</v>
      </c>
      <c r="C11" s="49">
        <v>3.2</v>
      </c>
      <c r="D11" s="71" t="s">
        <v>53</v>
      </c>
      <c r="E11" s="70">
        <f>IF(OR(C7="",C11=""),"",C7/C11)</f>
        <v>4.0624999999999991</v>
      </c>
    </row>
    <row r="12" spans="2:5">
      <c r="B12" s="24"/>
      <c r="C12" s="24"/>
    </row>
    <row r="13" spans="2:5" ht="24">
      <c r="B13" s="68" t="s">
        <v>20</v>
      </c>
      <c r="C13" s="68" t="s">
        <v>76</v>
      </c>
      <c r="D13" s="25" t="s">
        <v>77</v>
      </c>
      <c r="E13" s="25" t="s">
        <v>78</v>
      </c>
    </row>
    <row r="14" spans="2:5">
      <c r="B14" s="26" t="str">
        <f>BDI_Est!$A4</f>
        <v>内部优化,BDI在话单采集控制流增加参加校验</v>
      </c>
      <c r="C14" s="50">
        <f>IF($B14="","",BDI_Est!$G4)</f>
        <v>1.8333333333333333</v>
      </c>
      <c r="D14" s="54">
        <f>IF(AND(ISNUMBER(C14),ISNUMBER($C$6)),C14/$C$6,"")</f>
        <v>7.3333333333333334E-2</v>
      </c>
      <c r="E14" s="54">
        <f>IF(AND(ISNUMBER(C14),ISNUMBER($C$9)),C14/$C$9*$C$10,"")</f>
        <v>7.9444444444444443E-2</v>
      </c>
    </row>
    <row r="15" spans="2:5">
      <c r="B15" s="26" t="str">
        <f>BDI_Est!$A5</f>
        <v>内部优化（BDI过滤异常话单，避免单节点故障隐患,</v>
      </c>
      <c r="C15" s="50">
        <f>IF($B15="","",BDI_Est!$G5)</f>
        <v>3</v>
      </c>
      <c r="D15" s="54">
        <f t="shared" ref="D15:D78" si="0">IF(AND(ISNUMBER(C15),ISNUMBER($C$6)),C15/$C$6,"")</f>
        <v>0.12</v>
      </c>
      <c r="E15" s="54">
        <f t="shared" ref="E15:E78" si="1">IF(AND(ISNUMBER(C15),ISNUMBER($C$9)),C15/$C$9*$C$10,"")</f>
        <v>0.13</v>
      </c>
    </row>
    <row r="16" spans="2:5">
      <c r="B16" s="26" t="str">
        <f>BDI_Est!$A6</f>
        <v>内部优化（报表每日进度展示）</v>
      </c>
      <c r="C16" s="50">
        <f>IF($B16="","",BDI_Est!$G6)</f>
        <v>1.8333333333333333</v>
      </c>
      <c r="D16" s="54">
        <f t="shared" si="0"/>
        <v>7.3333333333333334E-2</v>
      </c>
      <c r="E16" s="54">
        <f t="shared" si="1"/>
        <v>7.9444444444444443E-2</v>
      </c>
    </row>
    <row r="17" spans="2:5">
      <c r="B17" s="26" t="str">
        <f>BDI_Est!$A7</f>
        <v xml:space="preserve"> 视频报表队列迁移</v>
      </c>
      <c r="C17" s="50">
        <f>IF($B17="","",BDI_Est!$G7)</f>
        <v>2.6666666666666665</v>
      </c>
      <c r="D17" s="54">
        <f t="shared" si="0"/>
        <v>0.10666666666666666</v>
      </c>
      <c r="E17" s="54">
        <f t="shared" si="1"/>
        <v>0.11555555555555555</v>
      </c>
    </row>
    <row r="18" spans="2:5">
      <c r="B18" s="26" t="str">
        <f>BDI_Est!$A8</f>
        <v>【区分不同客户端的需求】EDP 用户活跃 能区分不同类型终端（Android/iOS/WebTV)</v>
      </c>
      <c r="C18" s="50">
        <f>IF($B18="","",BDI_Est!$G8)</f>
        <v>3.6666666666666665</v>
      </c>
      <c r="D18" s="54">
        <f t="shared" si="0"/>
        <v>0.14666666666666667</v>
      </c>
      <c r="E18" s="54">
        <f t="shared" si="1"/>
        <v>0.15888888888888889</v>
      </c>
    </row>
    <row r="19" spans="2:5">
      <c r="B19" s="26" t="str">
        <f>BDI_Est!$A9</f>
        <v/>
      </c>
      <c r="C19" s="50" t="str">
        <f>IF($B19="","",BDI_Est!$G9)</f>
        <v/>
      </c>
      <c r="D19" s="54" t="str">
        <f t="shared" si="0"/>
        <v/>
      </c>
      <c r="E19" s="54" t="str">
        <f t="shared" si="1"/>
        <v/>
      </c>
    </row>
    <row r="20" spans="2:5">
      <c r="B20" s="26" t="str">
        <f>BDI_Est!$A10</f>
        <v/>
      </c>
      <c r="C20" s="50" t="str">
        <f>IF($B20="","",BDI_Est!$G10)</f>
        <v/>
      </c>
      <c r="D20" s="54" t="str">
        <f t="shared" si="0"/>
        <v/>
      </c>
      <c r="E20" s="54" t="str">
        <f t="shared" si="1"/>
        <v/>
      </c>
    </row>
    <row r="21" spans="2:5">
      <c r="B21" s="26" t="str">
        <f>BDI_Est!$A11</f>
        <v/>
      </c>
      <c r="C21" s="50" t="str">
        <f>IF($B21="","",BDI_Est!$G11)</f>
        <v/>
      </c>
      <c r="D21" s="54" t="str">
        <f t="shared" si="0"/>
        <v/>
      </c>
      <c r="E21" s="54" t="str">
        <f t="shared" si="1"/>
        <v/>
      </c>
    </row>
    <row r="22" spans="2:5">
      <c r="B22" s="26" t="str">
        <f>BDI_Est!$A12</f>
        <v/>
      </c>
      <c r="C22" s="50" t="str">
        <f>IF($B22="","",BDI_Est!$G12)</f>
        <v/>
      </c>
      <c r="D22" s="54" t="str">
        <f t="shared" si="0"/>
        <v/>
      </c>
      <c r="E22" s="54" t="str">
        <f t="shared" si="1"/>
        <v/>
      </c>
    </row>
    <row r="23" spans="2:5">
      <c r="B23" s="26" t="str">
        <f>BDI_Est!$A13</f>
        <v/>
      </c>
      <c r="C23" s="50" t="str">
        <f>IF($B23="","",BDI_Est!$G13)</f>
        <v/>
      </c>
      <c r="D23" s="54" t="str">
        <f t="shared" si="0"/>
        <v/>
      </c>
      <c r="E23" s="54" t="str">
        <f t="shared" si="1"/>
        <v/>
      </c>
    </row>
    <row r="24" spans="2:5">
      <c r="B24" s="26" t="str">
        <f>BDI_Est!$A14</f>
        <v/>
      </c>
      <c r="C24" s="50" t="str">
        <f>IF($B24="","",BDI_Est!$G14)</f>
        <v/>
      </c>
      <c r="D24" s="54" t="str">
        <f t="shared" si="0"/>
        <v/>
      </c>
      <c r="E24" s="54" t="str">
        <f t="shared" si="1"/>
        <v/>
      </c>
    </row>
    <row r="25" spans="2:5">
      <c r="B25" s="26" t="str">
        <f>BDI_Est!$A15</f>
        <v/>
      </c>
      <c r="C25" s="50" t="str">
        <f>IF($B25="","",BDI_Est!$G15)</f>
        <v/>
      </c>
      <c r="D25" s="54" t="str">
        <f t="shared" si="0"/>
        <v/>
      </c>
      <c r="E25" s="54" t="str">
        <f t="shared" si="1"/>
        <v/>
      </c>
    </row>
    <row r="26" spans="2:5">
      <c r="B26" s="26" t="str">
        <f>BDI_Est!$A16</f>
        <v/>
      </c>
      <c r="C26" s="50" t="str">
        <f>IF($B26="","",BDI_Est!$G16)</f>
        <v/>
      </c>
      <c r="D26" s="54" t="str">
        <f t="shared" si="0"/>
        <v/>
      </c>
      <c r="E26" s="54" t="str">
        <f t="shared" si="1"/>
        <v/>
      </c>
    </row>
    <row r="27" spans="2:5">
      <c r="B27" s="26" t="str">
        <f>BDI_Est!$A17</f>
        <v/>
      </c>
      <c r="C27" s="50" t="str">
        <f>IF($B27="","",BDI_Est!$G17)</f>
        <v/>
      </c>
      <c r="D27" s="54" t="str">
        <f t="shared" si="0"/>
        <v/>
      </c>
      <c r="E27" s="54" t="str">
        <f t="shared" si="1"/>
        <v/>
      </c>
    </row>
    <row r="28" spans="2:5">
      <c r="B28" s="26" t="str">
        <f>BDI_Est!$A18</f>
        <v/>
      </c>
      <c r="C28" s="50" t="str">
        <f>IF($B28="","",BDI_Est!$G18)</f>
        <v/>
      </c>
      <c r="D28" s="54" t="str">
        <f t="shared" si="0"/>
        <v/>
      </c>
      <c r="E28" s="54" t="str">
        <f t="shared" si="1"/>
        <v/>
      </c>
    </row>
    <row r="29" spans="2:5">
      <c r="B29" s="26" t="str">
        <f>BDI_Est!$A19</f>
        <v/>
      </c>
      <c r="C29" s="50" t="str">
        <f>IF($B29="","",BDI_Est!$G19)</f>
        <v/>
      </c>
      <c r="D29" s="54" t="str">
        <f t="shared" si="0"/>
        <v/>
      </c>
      <c r="E29" s="54" t="str">
        <f t="shared" si="1"/>
        <v/>
      </c>
    </row>
    <row r="30" spans="2:5">
      <c r="B30" s="26" t="str">
        <f>BDI_Est!$A20</f>
        <v/>
      </c>
      <c r="C30" s="50" t="str">
        <f>IF($B30="","",BDI_Est!$G20)</f>
        <v/>
      </c>
      <c r="D30" s="54" t="str">
        <f t="shared" si="0"/>
        <v/>
      </c>
      <c r="E30" s="54" t="str">
        <f t="shared" si="1"/>
        <v/>
      </c>
    </row>
    <row r="31" spans="2:5">
      <c r="B31" s="26" t="str">
        <f>BDI_Est!$A21</f>
        <v/>
      </c>
      <c r="C31" s="50" t="str">
        <f>IF($B31="","",BDI_Est!$G21)</f>
        <v/>
      </c>
      <c r="D31" s="54" t="str">
        <f t="shared" si="0"/>
        <v/>
      </c>
      <c r="E31" s="54" t="str">
        <f t="shared" si="1"/>
        <v/>
      </c>
    </row>
    <row r="32" spans="2:5">
      <c r="B32" s="26" t="str">
        <f>BDI_Est!$A22</f>
        <v/>
      </c>
      <c r="C32" s="50" t="str">
        <f>IF($B32="","",BDI_Est!$G22)</f>
        <v/>
      </c>
      <c r="D32" s="54" t="str">
        <f t="shared" si="0"/>
        <v/>
      </c>
      <c r="E32" s="54" t="str">
        <f t="shared" si="1"/>
        <v/>
      </c>
    </row>
    <row r="33" spans="2:5">
      <c r="B33" s="26" t="str">
        <f>BDI_Est!$A23</f>
        <v/>
      </c>
      <c r="C33" s="50" t="str">
        <f>IF($B33="","",BDI_Est!$G23)</f>
        <v/>
      </c>
      <c r="D33" s="54" t="str">
        <f t="shared" si="0"/>
        <v/>
      </c>
      <c r="E33" s="54" t="str">
        <f t="shared" si="1"/>
        <v/>
      </c>
    </row>
    <row r="34" spans="2:5">
      <c r="B34" s="26" t="str">
        <f>BDI_Est!$A24</f>
        <v/>
      </c>
      <c r="C34" s="50" t="str">
        <f>IF($B34="","",BDI_Est!$G24)</f>
        <v/>
      </c>
      <c r="D34" s="54" t="str">
        <f t="shared" si="0"/>
        <v/>
      </c>
      <c r="E34" s="54" t="str">
        <f t="shared" si="1"/>
        <v/>
      </c>
    </row>
    <row r="35" spans="2:5">
      <c r="B35" s="26" t="str">
        <f>BDI_Est!$A25</f>
        <v/>
      </c>
      <c r="C35" s="50" t="str">
        <f>IF($B35="","",BDI_Est!$G25)</f>
        <v/>
      </c>
      <c r="D35" s="54" t="str">
        <f t="shared" si="0"/>
        <v/>
      </c>
      <c r="E35" s="54" t="str">
        <f t="shared" si="1"/>
        <v/>
      </c>
    </row>
    <row r="36" spans="2:5">
      <c r="B36" s="26" t="str">
        <f>BDI_Est!$A26</f>
        <v/>
      </c>
      <c r="C36" s="50" t="str">
        <f>IF($B36="","",BDI_Est!$G26)</f>
        <v/>
      </c>
      <c r="D36" s="54" t="str">
        <f t="shared" si="0"/>
        <v/>
      </c>
      <c r="E36" s="54" t="str">
        <f t="shared" si="1"/>
        <v/>
      </c>
    </row>
    <row r="37" spans="2:5">
      <c r="B37" s="26" t="str">
        <f>BDI_Est!$A27</f>
        <v/>
      </c>
      <c r="C37" s="50" t="str">
        <f>IF($B37="","",BDI_Est!$G27)</f>
        <v/>
      </c>
      <c r="D37" s="54" t="str">
        <f t="shared" si="0"/>
        <v/>
      </c>
      <c r="E37" s="54" t="str">
        <f t="shared" si="1"/>
        <v/>
      </c>
    </row>
    <row r="38" spans="2:5">
      <c r="B38" s="26" t="str">
        <f>BDI_Est!$A28</f>
        <v/>
      </c>
      <c r="C38" s="50" t="str">
        <f>IF($B38="","",BDI_Est!$G28)</f>
        <v/>
      </c>
      <c r="D38" s="54" t="str">
        <f t="shared" si="0"/>
        <v/>
      </c>
      <c r="E38" s="54" t="str">
        <f t="shared" si="1"/>
        <v/>
      </c>
    </row>
    <row r="39" spans="2:5">
      <c r="B39" s="26" t="str">
        <f>BDI_Est!$A29</f>
        <v/>
      </c>
      <c r="C39" s="50" t="str">
        <f>IF($B39="","",BDI_Est!$G29)</f>
        <v/>
      </c>
      <c r="D39" s="54" t="str">
        <f t="shared" si="0"/>
        <v/>
      </c>
      <c r="E39" s="54" t="str">
        <f t="shared" si="1"/>
        <v/>
      </c>
    </row>
    <row r="40" spans="2:5">
      <c r="B40" s="26" t="str">
        <f>BDI_Est!$A30</f>
        <v/>
      </c>
      <c r="C40" s="50" t="str">
        <f>IF($B40="","",BDI_Est!$G30)</f>
        <v/>
      </c>
      <c r="D40" s="54" t="str">
        <f t="shared" si="0"/>
        <v/>
      </c>
      <c r="E40" s="54" t="str">
        <f t="shared" si="1"/>
        <v/>
      </c>
    </row>
    <row r="41" spans="2:5">
      <c r="B41" s="26" t="str">
        <f>BDI_Est!$A31</f>
        <v/>
      </c>
      <c r="C41" s="50" t="str">
        <f>IF($B41="","",BDI_Est!$G31)</f>
        <v/>
      </c>
      <c r="D41" s="54" t="str">
        <f t="shared" si="0"/>
        <v/>
      </c>
      <c r="E41" s="54" t="str">
        <f t="shared" si="1"/>
        <v/>
      </c>
    </row>
    <row r="42" spans="2:5">
      <c r="B42" s="26" t="str">
        <f>BDI_Est!$A32</f>
        <v/>
      </c>
      <c r="C42" s="50" t="str">
        <f>IF($B42="","",BDI_Est!$G32)</f>
        <v/>
      </c>
      <c r="D42" s="54" t="str">
        <f t="shared" si="0"/>
        <v/>
      </c>
      <c r="E42" s="54" t="str">
        <f t="shared" si="1"/>
        <v/>
      </c>
    </row>
    <row r="43" spans="2:5">
      <c r="B43" s="26" t="str">
        <f>BDI_Est!$A33</f>
        <v/>
      </c>
      <c r="C43" s="50" t="str">
        <f>IF($B43="","",BDI_Est!$G33)</f>
        <v/>
      </c>
      <c r="D43" s="54" t="str">
        <f t="shared" si="0"/>
        <v/>
      </c>
      <c r="E43" s="54" t="str">
        <f t="shared" si="1"/>
        <v/>
      </c>
    </row>
    <row r="44" spans="2:5">
      <c r="B44" s="26" t="str">
        <f>BDI_Est!$A34</f>
        <v/>
      </c>
      <c r="C44" s="50" t="str">
        <f>IF($B44="","",BDI_Est!$G34)</f>
        <v/>
      </c>
      <c r="D44" s="54" t="str">
        <f t="shared" si="0"/>
        <v/>
      </c>
      <c r="E44" s="54" t="str">
        <f t="shared" si="1"/>
        <v/>
      </c>
    </row>
    <row r="45" spans="2:5">
      <c r="B45" s="26" t="str">
        <f>BDI_Est!$A35</f>
        <v/>
      </c>
      <c r="C45" s="50" t="str">
        <f>IF($B45="","",BDI_Est!$G35)</f>
        <v/>
      </c>
      <c r="D45" s="54" t="str">
        <f t="shared" si="0"/>
        <v/>
      </c>
      <c r="E45" s="54" t="str">
        <f t="shared" si="1"/>
        <v/>
      </c>
    </row>
    <row r="46" spans="2:5">
      <c r="B46" s="26" t="str">
        <f>BDI_Est!$A36</f>
        <v/>
      </c>
      <c r="C46" s="50" t="str">
        <f>IF($B46="","",BDI_Est!$G36)</f>
        <v/>
      </c>
      <c r="D46" s="54" t="str">
        <f t="shared" si="0"/>
        <v/>
      </c>
      <c r="E46" s="54" t="str">
        <f t="shared" si="1"/>
        <v/>
      </c>
    </row>
    <row r="47" spans="2:5">
      <c r="B47" s="26" t="str">
        <f>BDI_Est!$A37</f>
        <v/>
      </c>
      <c r="C47" s="50" t="str">
        <f>IF($B47="","",BDI_Est!$G37)</f>
        <v/>
      </c>
      <c r="D47" s="54" t="str">
        <f t="shared" si="0"/>
        <v/>
      </c>
      <c r="E47" s="54" t="str">
        <f t="shared" si="1"/>
        <v/>
      </c>
    </row>
    <row r="48" spans="2:5">
      <c r="B48" s="26" t="str">
        <f>BDI_Est!$A38</f>
        <v/>
      </c>
      <c r="C48" s="50" t="str">
        <f>IF($B48="","",BDI_Est!$G38)</f>
        <v/>
      </c>
      <c r="D48" s="54" t="str">
        <f t="shared" si="0"/>
        <v/>
      </c>
      <c r="E48" s="54" t="str">
        <f t="shared" si="1"/>
        <v/>
      </c>
    </row>
    <row r="49" spans="2:5">
      <c r="B49" s="26" t="str">
        <f>BDI_Est!$A39</f>
        <v/>
      </c>
      <c r="C49" s="50" t="str">
        <f>IF($B49="","",BDI_Est!$G39)</f>
        <v/>
      </c>
      <c r="D49" s="54" t="str">
        <f t="shared" si="0"/>
        <v/>
      </c>
      <c r="E49" s="54" t="str">
        <f t="shared" si="1"/>
        <v/>
      </c>
    </row>
    <row r="50" spans="2:5">
      <c r="B50" s="26" t="str">
        <f>BDI_Est!$A40</f>
        <v/>
      </c>
      <c r="C50" s="50" t="str">
        <f>IF($B50="","",BDI_Est!$G40)</f>
        <v/>
      </c>
      <c r="D50" s="54" t="str">
        <f t="shared" si="0"/>
        <v/>
      </c>
      <c r="E50" s="54" t="str">
        <f t="shared" si="1"/>
        <v/>
      </c>
    </row>
    <row r="51" spans="2:5">
      <c r="B51" s="26" t="str">
        <f>BDI_Est!$A41</f>
        <v/>
      </c>
      <c r="C51" s="50" t="str">
        <f>IF($B51="","",BDI_Est!$G41)</f>
        <v/>
      </c>
      <c r="D51" s="54" t="str">
        <f t="shared" si="0"/>
        <v/>
      </c>
      <c r="E51" s="54" t="str">
        <f t="shared" si="1"/>
        <v/>
      </c>
    </row>
    <row r="52" spans="2:5">
      <c r="B52" s="26" t="str">
        <f>BDI_Est!$A42</f>
        <v/>
      </c>
      <c r="C52" s="50" t="str">
        <f>IF($B52="","",BDI_Est!$G42)</f>
        <v/>
      </c>
      <c r="D52" s="54" t="str">
        <f t="shared" si="0"/>
        <v/>
      </c>
      <c r="E52" s="54" t="str">
        <f t="shared" si="1"/>
        <v/>
      </c>
    </row>
    <row r="53" spans="2:5">
      <c r="B53" s="26" t="str">
        <f>BDI_Est!$A43</f>
        <v/>
      </c>
      <c r="C53" s="50" t="str">
        <f>IF($B53="","",BDI_Est!$G43)</f>
        <v/>
      </c>
      <c r="D53" s="54" t="str">
        <f t="shared" si="0"/>
        <v/>
      </c>
      <c r="E53" s="54" t="str">
        <f t="shared" si="1"/>
        <v/>
      </c>
    </row>
    <row r="54" spans="2:5">
      <c r="B54" s="26" t="str">
        <f>BDI_Est!$A44</f>
        <v/>
      </c>
      <c r="C54" s="50" t="str">
        <f>IF($B54="","",BDI_Est!$G44)</f>
        <v/>
      </c>
      <c r="D54" s="54" t="str">
        <f t="shared" si="0"/>
        <v/>
      </c>
      <c r="E54" s="54" t="str">
        <f t="shared" si="1"/>
        <v/>
      </c>
    </row>
    <row r="55" spans="2:5">
      <c r="B55" s="26" t="str">
        <f>BDI_Est!$A45</f>
        <v/>
      </c>
      <c r="C55" s="50" t="str">
        <f>IF($B55="","",BDI_Est!$G45)</f>
        <v/>
      </c>
      <c r="D55" s="54" t="str">
        <f t="shared" si="0"/>
        <v/>
      </c>
      <c r="E55" s="54" t="str">
        <f t="shared" si="1"/>
        <v/>
      </c>
    </row>
    <row r="56" spans="2:5">
      <c r="B56" s="26" t="str">
        <f>BDI_Est!$A46</f>
        <v/>
      </c>
      <c r="C56" s="50" t="str">
        <f>IF($B56="","",BDI_Est!$G46)</f>
        <v/>
      </c>
      <c r="D56" s="54" t="str">
        <f t="shared" si="0"/>
        <v/>
      </c>
      <c r="E56" s="54" t="str">
        <f t="shared" si="1"/>
        <v/>
      </c>
    </row>
    <row r="57" spans="2:5">
      <c r="B57" s="26" t="str">
        <f>BDI_Est!$A47</f>
        <v/>
      </c>
      <c r="C57" s="50" t="str">
        <f>IF($B57="","",BDI_Est!$G47)</f>
        <v/>
      </c>
      <c r="D57" s="54" t="str">
        <f t="shared" si="0"/>
        <v/>
      </c>
      <c r="E57" s="54" t="str">
        <f t="shared" si="1"/>
        <v/>
      </c>
    </row>
    <row r="58" spans="2:5">
      <c r="B58" s="26" t="str">
        <f>BDI_Est!$A48</f>
        <v/>
      </c>
      <c r="C58" s="50" t="str">
        <f>IF($B58="","",BDI_Est!$G48)</f>
        <v/>
      </c>
      <c r="D58" s="54" t="str">
        <f t="shared" si="0"/>
        <v/>
      </c>
      <c r="E58" s="54" t="str">
        <f t="shared" si="1"/>
        <v/>
      </c>
    </row>
    <row r="59" spans="2:5">
      <c r="B59" s="26" t="str">
        <f>BDI_Est!$A49</f>
        <v/>
      </c>
      <c r="C59" s="50" t="str">
        <f>IF($B59="","",BDI_Est!$G49)</f>
        <v/>
      </c>
      <c r="D59" s="54" t="str">
        <f t="shared" si="0"/>
        <v/>
      </c>
      <c r="E59" s="54" t="str">
        <f t="shared" si="1"/>
        <v/>
      </c>
    </row>
    <row r="60" spans="2:5">
      <c r="B60" s="26" t="str">
        <f>BDI_Est!$A50</f>
        <v/>
      </c>
      <c r="C60" s="50" t="str">
        <f>IF($B60="","",BDI_Est!$G50)</f>
        <v/>
      </c>
      <c r="D60" s="54" t="str">
        <f t="shared" si="0"/>
        <v/>
      </c>
      <c r="E60" s="54" t="str">
        <f t="shared" si="1"/>
        <v/>
      </c>
    </row>
    <row r="61" spans="2:5">
      <c r="B61" s="26" t="str">
        <f>BDI_Est!$A51</f>
        <v/>
      </c>
      <c r="C61" s="50" t="str">
        <f>IF($B61="","",BDI_Est!$G51)</f>
        <v/>
      </c>
      <c r="D61" s="54" t="str">
        <f t="shared" si="0"/>
        <v/>
      </c>
      <c r="E61" s="54" t="str">
        <f t="shared" si="1"/>
        <v/>
      </c>
    </row>
    <row r="62" spans="2:5">
      <c r="B62" s="26" t="str">
        <f>BDI_Est!$A52</f>
        <v/>
      </c>
      <c r="C62" s="50" t="str">
        <f>IF($B62="","",BDI_Est!$G52)</f>
        <v/>
      </c>
      <c r="D62" s="54" t="str">
        <f t="shared" si="0"/>
        <v/>
      </c>
      <c r="E62" s="54" t="str">
        <f t="shared" si="1"/>
        <v/>
      </c>
    </row>
    <row r="63" spans="2:5">
      <c r="B63" s="26" t="str">
        <f>BDI_Est!$A53</f>
        <v/>
      </c>
      <c r="C63" s="50" t="str">
        <f>IF($B63="","",BDI_Est!$G53)</f>
        <v/>
      </c>
      <c r="D63" s="54" t="str">
        <f t="shared" si="0"/>
        <v/>
      </c>
      <c r="E63" s="54" t="str">
        <f t="shared" si="1"/>
        <v/>
      </c>
    </row>
    <row r="64" spans="2:5">
      <c r="B64" s="26" t="str">
        <f>BDI_Est!$A54</f>
        <v/>
      </c>
      <c r="C64" s="50" t="str">
        <f>IF($B64="","",BDI_Est!$G54)</f>
        <v/>
      </c>
      <c r="D64" s="54" t="str">
        <f t="shared" si="0"/>
        <v/>
      </c>
      <c r="E64" s="54" t="str">
        <f t="shared" si="1"/>
        <v/>
      </c>
    </row>
    <row r="65" spans="2:5">
      <c r="B65" s="26" t="str">
        <f>BDI_Est!$A55</f>
        <v/>
      </c>
      <c r="C65" s="50" t="str">
        <f>IF($B65="","",BDI_Est!$G55)</f>
        <v/>
      </c>
      <c r="D65" s="54" t="str">
        <f t="shared" si="0"/>
        <v/>
      </c>
      <c r="E65" s="54" t="str">
        <f t="shared" si="1"/>
        <v/>
      </c>
    </row>
    <row r="66" spans="2:5">
      <c r="B66" s="26" t="str">
        <f>BDI_Est!$A56</f>
        <v/>
      </c>
      <c r="C66" s="50" t="str">
        <f>IF($B66="","",BDI_Est!$G56)</f>
        <v/>
      </c>
      <c r="D66" s="54" t="str">
        <f t="shared" si="0"/>
        <v/>
      </c>
      <c r="E66" s="54" t="str">
        <f t="shared" si="1"/>
        <v/>
      </c>
    </row>
    <row r="67" spans="2:5">
      <c r="B67" s="26" t="str">
        <f>BDI_Est!$A57</f>
        <v/>
      </c>
      <c r="C67" s="50" t="str">
        <f>IF($B67="","",BDI_Est!$G57)</f>
        <v/>
      </c>
      <c r="D67" s="54" t="str">
        <f t="shared" si="0"/>
        <v/>
      </c>
      <c r="E67" s="54" t="str">
        <f t="shared" si="1"/>
        <v/>
      </c>
    </row>
    <row r="68" spans="2:5">
      <c r="B68" s="26" t="str">
        <f>BDI_Est!$A58</f>
        <v/>
      </c>
      <c r="C68" s="50" t="str">
        <f>IF($B68="","",BDI_Est!$G58)</f>
        <v/>
      </c>
      <c r="D68" s="54" t="str">
        <f t="shared" si="0"/>
        <v/>
      </c>
      <c r="E68" s="54" t="str">
        <f t="shared" si="1"/>
        <v/>
      </c>
    </row>
    <row r="69" spans="2:5">
      <c r="B69" s="26" t="str">
        <f>BDI_Est!$A59</f>
        <v/>
      </c>
      <c r="C69" s="50" t="str">
        <f>IF($B69="","",BDI_Est!$G59)</f>
        <v/>
      </c>
      <c r="D69" s="54" t="str">
        <f t="shared" si="0"/>
        <v/>
      </c>
      <c r="E69" s="54" t="str">
        <f t="shared" si="1"/>
        <v/>
      </c>
    </row>
    <row r="70" spans="2:5">
      <c r="B70" s="26" t="str">
        <f>BDI_Est!$A60</f>
        <v/>
      </c>
      <c r="C70" s="50" t="str">
        <f>IF($B70="","",BDI_Est!$G60)</f>
        <v/>
      </c>
      <c r="D70" s="54" t="str">
        <f t="shared" si="0"/>
        <v/>
      </c>
      <c r="E70" s="54" t="str">
        <f t="shared" si="1"/>
        <v/>
      </c>
    </row>
    <row r="71" spans="2:5">
      <c r="B71" s="26" t="str">
        <f>BDI_Est!$A61</f>
        <v/>
      </c>
      <c r="C71" s="50" t="str">
        <f>IF($B71="","",BDI_Est!$G61)</f>
        <v/>
      </c>
      <c r="D71" s="54" t="str">
        <f t="shared" si="0"/>
        <v/>
      </c>
      <c r="E71" s="54" t="str">
        <f t="shared" si="1"/>
        <v/>
      </c>
    </row>
    <row r="72" spans="2:5">
      <c r="B72" s="26" t="str">
        <f>BDI_Est!$A62</f>
        <v/>
      </c>
      <c r="C72" s="50" t="str">
        <f>IF($B72="","",BDI_Est!$G62)</f>
        <v/>
      </c>
      <c r="D72" s="54" t="str">
        <f t="shared" si="0"/>
        <v/>
      </c>
      <c r="E72" s="54" t="str">
        <f t="shared" si="1"/>
        <v/>
      </c>
    </row>
    <row r="73" spans="2:5">
      <c r="B73" s="26" t="str">
        <f>BDI_Est!$A63</f>
        <v/>
      </c>
      <c r="C73" s="50" t="str">
        <f>IF($B73="","",BDI_Est!$G63)</f>
        <v/>
      </c>
      <c r="D73" s="54" t="str">
        <f t="shared" si="0"/>
        <v/>
      </c>
      <c r="E73" s="54" t="str">
        <f t="shared" si="1"/>
        <v/>
      </c>
    </row>
    <row r="74" spans="2:5">
      <c r="B74" s="26" t="str">
        <f>BDI_Est!$A64</f>
        <v/>
      </c>
      <c r="C74" s="50" t="str">
        <f>IF($B74="","",BDI_Est!$G64)</f>
        <v/>
      </c>
      <c r="D74" s="54" t="str">
        <f t="shared" si="0"/>
        <v/>
      </c>
      <c r="E74" s="54" t="str">
        <f t="shared" si="1"/>
        <v/>
      </c>
    </row>
    <row r="75" spans="2:5">
      <c r="B75" s="26" t="str">
        <f>BDI_Est!$A65</f>
        <v/>
      </c>
      <c r="C75" s="50" t="str">
        <f>IF($B75="","",BDI_Est!$G65)</f>
        <v/>
      </c>
      <c r="D75" s="54" t="str">
        <f t="shared" si="0"/>
        <v/>
      </c>
      <c r="E75" s="54" t="str">
        <f t="shared" si="1"/>
        <v/>
      </c>
    </row>
    <row r="76" spans="2:5">
      <c r="B76" s="26" t="str">
        <f>BDI_Est!$A66</f>
        <v/>
      </c>
      <c r="C76" s="50" t="str">
        <f>IF($B76="","",BDI_Est!$G66)</f>
        <v/>
      </c>
      <c r="D76" s="54" t="str">
        <f t="shared" si="0"/>
        <v/>
      </c>
      <c r="E76" s="54" t="str">
        <f t="shared" si="1"/>
        <v/>
      </c>
    </row>
    <row r="77" spans="2:5">
      <c r="B77" s="26" t="str">
        <f>BDI_Est!$A67</f>
        <v/>
      </c>
      <c r="C77" s="50" t="str">
        <f>IF($B77="","",BDI_Est!$G67)</f>
        <v/>
      </c>
      <c r="D77" s="54" t="str">
        <f t="shared" si="0"/>
        <v/>
      </c>
      <c r="E77" s="54" t="str">
        <f t="shared" si="1"/>
        <v/>
      </c>
    </row>
    <row r="78" spans="2:5">
      <c r="B78" s="26" t="str">
        <f>BDI_Est!$A68</f>
        <v/>
      </c>
      <c r="C78" s="50" t="str">
        <f>IF($B78="","",BDI_Est!$G68)</f>
        <v/>
      </c>
      <c r="D78" s="54" t="str">
        <f t="shared" si="0"/>
        <v/>
      </c>
      <c r="E78" s="54" t="str">
        <f t="shared" si="1"/>
        <v/>
      </c>
    </row>
    <row r="79" spans="2:5">
      <c r="B79" s="26" t="str">
        <f>BDI_Est!$A69</f>
        <v/>
      </c>
      <c r="C79" s="50" t="str">
        <f>IF($B79="","",BDI_Est!$G69)</f>
        <v/>
      </c>
      <c r="D79" s="54" t="str">
        <f t="shared" ref="D79:D142" si="2">IF(AND(ISNUMBER(C79),ISNUMBER($C$6)),C79/$C$6,"")</f>
        <v/>
      </c>
      <c r="E79" s="54" t="str">
        <f t="shared" ref="E79:E142" si="3">IF(AND(ISNUMBER(C79),ISNUMBER($C$9)),C79/$C$9*$C$10,"")</f>
        <v/>
      </c>
    </row>
    <row r="80" spans="2:5">
      <c r="B80" s="26" t="str">
        <f>BDI_Est!$A70</f>
        <v/>
      </c>
      <c r="C80" s="50" t="str">
        <f>IF($B80="","",BDI_Est!$G70)</f>
        <v/>
      </c>
      <c r="D80" s="54" t="str">
        <f t="shared" si="2"/>
        <v/>
      </c>
      <c r="E80" s="54" t="str">
        <f t="shared" si="3"/>
        <v/>
      </c>
    </row>
    <row r="81" spans="2:5">
      <c r="B81" s="26" t="str">
        <f>BDI_Est!$A71</f>
        <v/>
      </c>
      <c r="C81" s="50" t="str">
        <f>IF($B81="","",BDI_Est!$G71)</f>
        <v/>
      </c>
      <c r="D81" s="54" t="str">
        <f t="shared" si="2"/>
        <v/>
      </c>
      <c r="E81" s="54" t="str">
        <f t="shared" si="3"/>
        <v/>
      </c>
    </row>
    <row r="82" spans="2:5">
      <c r="B82" s="26" t="str">
        <f>BDI_Est!$A72</f>
        <v/>
      </c>
      <c r="C82" s="50" t="str">
        <f>IF($B82="","",BDI_Est!$G72)</f>
        <v/>
      </c>
      <c r="D82" s="54" t="str">
        <f t="shared" si="2"/>
        <v/>
      </c>
      <c r="E82" s="54" t="str">
        <f t="shared" si="3"/>
        <v/>
      </c>
    </row>
    <row r="83" spans="2:5">
      <c r="B83" s="26" t="str">
        <f>BDI_Est!$A73</f>
        <v/>
      </c>
      <c r="C83" s="50" t="str">
        <f>IF($B83="","",BDI_Est!$G73)</f>
        <v/>
      </c>
      <c r="D83" s="54" t="str">
        <f t="shared" si="2"/>
        <v/>
      </c>
      <c r="E83" s="54" t="str">
        <f t="shared" si="3"/>
        <v/>
      </c>
    </row>
    <row r="84" spans="2:5">
      <c r="B84" s="26" t="str">
        <f>BDI_Est!$A74</f>
        <v/>
      </c>
      <c r="C84" s="50" t="str">
        <f>IF($B84="","",BDI_Est!$G74)</f>
        <v/>
      </c>
      <c r="D84" s="54" t="str">
        <f t="shared" si="2"/>
        <v/>
      </c>
      <c r="E84" s="54" t="str">
        <f t="shared" si="3"/>
        <v/>
      </c>
    </row>
    <row r="85" spans="2:5">
      <c r="B85" s="26" t="str">
        <f>BDI_Est!$A75</f>
        <v/>
      </c>
      <c r="C85" s="50" t="str">
        <f>IF($B85="","",BDI_Est!$G75)</f>
        <v/>
      </c>
      <c r="D85" s="54" t="str">
        <f t="shared" si="2"/>
        <v/>
      </c>
      <c r="E85" s="54" t="str">
        <f t="shared" si="3"/>
        <v/>
      </c>
    </row>
    <row r="86" spans="2:5">
      <c r="B86" s="26" t="str">
        <f>BDI_Est!$A76</f>
        <v/>
      </c>
      <c r="C86" s="50" t="str">
        <f>IF($B86="","",BDI_Est!$G76)</f>
        <v/>
      </c>
      <c r="D86" s="54" t="str">
        <f t="shared" si="2"/>
        <v/>
      </c>
      <c r="E86" s="54" t="str">
        <f t="shared" si="3"/>
        <v/>
      </c>
    </row>
    <row r="87" spans="2:5">
      <c r="B87" s="26" t="str">
        <f>BDI_Est!$A77</f>
        <v/>
      </c>
      <c r="C87" s="50" t="str">
        <f>IF($B87="","",BDI_Est!$G77)</f>
        <v/>
      </c>
      <c r="D87" s="54" t="str">
        <f t="shared" si="2"/>
        <v/>
      </c>
      <c r="E87" s="54" t="str">
        <f t="shared" si="3"/>
        <v/>
      </c>
    </row>
    <row r="88" spans="2:5">
      <c r="B88" s="26" t="str">
        <f>BDI_Est!$A78</f>
        <v/>
      </c>
      <c r="C88" s="50" t="str">
        <f>IF($B88="","",BDI_Est!$G78)</f>
        <v/>
      </c>
      <c r="D88" s="54" t="str">
        <f t="shared" si="2"/>
        <v/>
      </c>
      <c r="E88" s="54" t="str">
        <f t="shared" si="3"/>
        <v/>
      </c>
    </row>
    <row r="89" spans="2:5">
      <c r="B89" s="26" t="str">
        <f>BDI_Est!$A79</f>
        <v/>
      </c>
      <c r="C89" s="50" t="str">
        <f>IF($B89="","",BDI_Est!$G79)</f>
        <v/>
      </c>
      <c r="D89" s="54" t="str">
        <f t="shared" si="2"/>
        <v/>
      </c>
      <c r="E89" s="54" t="str">
        <f t="shared" si="3"/>
        <v/>
      </c>
    </row>
    <row r="90" spans="2:5">
      <c r="B90" s="26" t="str">
        <f>BDI_Est!$A80</f>
        <v/>
      </c>
      <c r="C90" s="50" t="str">
        <f>IF($B90="","",BDI_Est!$G80)</f>
        <v/>
      </c>
      <c r="D90" s="54" t="str">
        <f t="shared" si="2"/>
        <v/>
      </c>
      <c r="E90" s="54" t="str">
        <f t="shared" si="3"/>
        <v/>
      </c>
    </row>
    <row r="91" spans="2:5">
      <c r="B91" s="26" t="str">
        <f>BDI_Est!$A81</f>
        <v/>
      </c>
      <c r="C91" s="50" t="str">
        <f>IF($B91="","",BDI_Est!$G81)</f>
        <v/>
      </c>
      <c r="D91" s="54" t="str">
        <f t="shared" si="2"/>
        <v/>
      </c>
      <c r="E91" s="54" t="str">
        <f t="shared" si="3"/>
        <v/>
      </c>
    </row>
    <row r="92" spans="2:5">
      <c r="B92" s="26" t="str">
        <f>BDI_Est!$A82</f>
        <v/>
      </c>
      <c r="C92" s="50" t="str">
        <f>IF($B92="","",BDI_Est!$G82)</f>
        <v/>
      </c>
      <c r="D92" s="54" t="str">
        <f t="shared" si="2"/>
        <v/>
      </c>
      <c r="E92" s="54" t="str">
        <f t="shared" si="3"/>
        <v/>
      </c>
    </row>
    <row r="93" spans="2:5">
      <c r="B93" s="26" t="str">
        <f>BDI_Est!$A83</f>
        <v/>
      </c>
      <c r="C93" s="50" t="str">
        <f>IF($B93="","",BDI_Est!$G83)</f>
        <v/>
      </c>
      <c r="D93" s="54" t="str">
        <f t="shared" si="2"/>
        <v/>
      </c>
      <c r="E93" s="54" t="str">
        <f t="shared" si="3"/>
        <v/>
      </c>
    </row>
    <row r="94" spans="2:5">
      <c r="B94" s="26" t="str">
        <f>BDI_Est!$A84</f>
        <v/>
      </c>
      <c r="C94" s="50" t="str">
        <f>IF($B94="","",BDI_Est!$G84)</f>
        <v/>
      </c>
      <c r="D94" s="54" t="str">
        <f t="shared" si="2"/>
        <v/>
      </c>
      <c r="E94" s="54" t="str">
        <f t="shared" si="3"/>
        <v/>
      </c>
    </row>
    <row r="95" spans="2:5">
      <c r="B95" s="26" t="str">
        <f>BDI_Est!$A85</f>
        <v/>
      </c>
      <c r="C95" s="50" t="str">
        <f>IF($B95="","",BDI_Est!$G85)</f>
        <v/>
      </c>
      <c r="D95" s="54" t="str">
        <f t="shared" si="2"/>
        <v/>
      </c>
      <c r="E95" s="54" t="str">
        <f t="shared" si="3"/>
        <v/>
      </c>
    </row>
    <row r="96" spans="2:5">
      <c r="B96" s="26" t="str">
        <f>BDI_Est!$A86</f>
        <v/>
      </c>
      <c r="C96" s="50" t="str">
        <f>IF($B96="","",BDI_Est!$G86)</f>
        <v/>
      </c>
      <c r="D96" s="54" t="str">
        <f t="shared" si="2"/>
        <v/>
      </c>
      <c r="E96" s="54" t="str">
        <f t="shared" si="3"/>
        <v/>
      </c>
    </row>
    <row r="97" spans="2:5">
      <c r="B97" s="26" t="str">
        <f>BDI_Est!$A87</f>
        <v/>
      </c>
      <c r="C97" s="50" t="str">
        <f>IF($B97="","",BDI_Est!$G87)</f>
        <v/>
      </c>
      <c r="D97" s="54" t="str">
        <f t="shared" si="2"/>
        <v/>
      </c>
      <c r="E97" s="54" t="str">
        <f t="shared" si="3"/>
        <v/>
      </c>
    </row>
    <row r="98" spans="2:5">
      <c r="B98" s="26" t="str">
        <f>BDI_Est!$A88</f>
        <v/>
      </c>
      <c r="C98" s="50" t="str">
        <f>IF($B98="","",BDI_Est!$G88)</f>
        <v/>
      </c>
      <c r="D98" s="54" t="str">
        <f t="shared" si="2"/>
        <v/>
      </c>
      <c r="E98" s="54" t="str">
        <f t="shared" si="3"/>
        <v/>
      </c>
    </row>
    <row r="99" spans="2:5">
      <c r="B99" s="26" t="str">
        <f>BDI_Est!$A89</f>
        <v/>
      </c>
      <c r="C99" s="50" t="str">
        <f>IF($B99="","",BDI_Est!$G89)</f>
        <v/>
      </c>
      <c r="D99" s="54" t="str">
        <f t="shared" si="2"/>
        <v/>
      </c>
      <c r="E99" s="54" t="str">
        <f t="shared" si="3"/>
        <v/>
      </c>
    </row>
    <row r="100" spans="2:5">
      <c r="B100" s="26" t="str">
        <f>BDI_Est!$A90</f>
        <v/>
      </c>
      <c r="C100" s="50" t="str">
        <f>IF($B100="","",BDI_Est!$G90)</f>
        <v/>
      </c>
      <c r="D100" s="54" t="str">
        <f t="shared" si="2"/>
        <v/>
      </c>
      <c r="E100" s="54" t="str">
        <f t="shared" si="3"/>
        <v/>
      </c>
    </row>
    <row r="101" spans="2:5">
      <c r="B101" s="26" t="str">
        <f>BDI_Est!$A91</f>
        <v/>
      </c>
      <c r="C101" s="50" t="str">
        <f>IF($B101="","",BDI_Est!$G91)</f>
        <v/>
      </c>
      <c r="D101" s="54" t="str">
        <f t="shared" si="2"/>
        <v/>
      </c>
      <c r="E101" s="54" t="str">
        <f t="shared" si="3"/>
        <v/>
      </c>
    </row>
    <row r="102" spans="2:5">
      <c r="B102" s="26" t="str">
        <f>BDI_Est!$A92</f>
        <v/>
      </c>
      <c r="C102" s="50" t="str">
        <f>IF($B102="","",BDI_Est!$G92)</f>
        <v/>
      </c>
      <c r="D102" s="54" t="str">
        <f t="shared" si="2"/>
        <v/>
      </c>
      <c r="E102" s="54" t="str">
        <f t="shared" si="3"/>
        <v/>
      </c>
    </row>
    <row r="103" spans="2:5">
      <c r="B103" s="26" t="str">
        <f>BDI_Est!$A93</f>
        <v/>
      </c>
      <c r="C103" s="50" t="str">
        <f>IF($B103="","",BDI_Est!$G93)</f>
        <v/>
      </c>
      <c r="D103" s="54" t="str">
        <f t="shared" si="2"/>
        <v/>
      </c>
      <c r="E103" s="54" t="str">
        <f t="shared" si="3"/>
        <v/>
      </c>
    </row>
    <row r="104" spans="2:5">
      <c r="B104" s="26" t="str">
        <f>BDI_Est!$A94</f>
        <v/>
      </c>
      <c r="C104" s="50" t="str">
        <f>IF($B104="","",BDI_Est!$G94)</f>
        <v/>
      </c>
      <c r="D104" s="54" t="str">
        <f t="shared" si="2"/>
        <v/>
      </c>
      <c r="E104" s="54" t="str">
        <f t="shared" si="3"/>
        <v/>
      </c>
    </row>
    <row r="105" spans="2:5">
      <c r="B105" s="26" t="str">
        <f>BDI_Est!$A95</f>
        <v/>
      </c>
      <c r="C105" s="50" t="str">
        <f>IF($B105="","",BDI_Est!$G95)</f>
        <v/>
      </c>
      <c r="D105" s="54" t="str">
        <f t="shared" si="2"/>
        <v/>
      </c>
      <c r="E105" s="54" t="str">
        <f t="shared" si="3"/>
        <v/>
      </c>
    </row>
    <row r="106" spans="2:5">
      <c r="B106" s="26" t="str">
        <f>BDI_Est!$A96</f>
        <v/>
      </c>
      <c r="C106" s="50" t="str">
        <f>IF($B106="","",BDI_Est!$G96)</f>
        <v/>
      </c>
      <c r="D106" s="54" t="str">
        <f t="shared" si="2"/>
        <v/>
      </c>
      <c r="E106" s="54" t="str">
        <f t="shared" si="3"/>
        <v/>
      </c>
    </row>
    <row r="107" spans="2:5">
      <c r="B107" s="26" t="str">
        <f>BDI_Est!$A97</f>
        <v/>
      </c>
      <c r="C107" s="50" t="str">
        <f>IF($B107="","",BDI_Est!$G97)</f>
        <v/>
      </c>
      <c r="D107" s="54" t="str">
        <f t="shared" si="2"/>
        <v/>
      </c>
      <c r="E107" s="54" t="str">
        <f t="shared" si="3"/>
        <v/>
      </c>
    </row>
    <row r="108" spans="2:5">
      <c r="B108" s="26" t="str">
        <f>BDI_Est!$A98</f>
        <v/>
      </c>
      <c r="C108" s="50" t="str">
        <f>IF($B108="","",BDI_Est!$G98)</f>
        <v/>
      </c>
      <c r="D108" s="54" t="str">
        <f t="shared" si="2"/>
        <v/>
      </c>
      <c r="E108" s="54" t="str">
        <f t="shared" si="3"/>
        <v/>
      </c>
    </row>
    <row r="109" spans="2:5">
      <c r="B109" s="26" t="str">
        <f>BDI_Est!$A99</f>
        <v/>
      </c>
      <c r="C109" s="50" t="str">
        <f>IF($B109="","",BDI_Est!$G99)</f>
        <v/>
      </c>
      <c r="D109" s="54" t="str">
        <f t="shared" si="2"/>
        <v/>
      </c>
      <c r="E109" s="54" t="str">
        <f t="shared" si="3"/>
        <v/>
      </c>
    </row>
    <row r="110" spans="2:5">
      <c r="B110" s="26" t="str">
        <f>BDI_Est!$A100</f>
        <v/>
      </c>
      <c r="C110" s="50" t="str">
        <f>IF($B110="","",BDI_Est!$G100)</f>
        <v/>
      </c>
      <c r="D110" s="54" t="str">
        <f t="shared" si="2"/>
        <v/>
      </c>
      <c r="E110" s="54" t="str">
        <f t="shared" si="3"/>
        <v/>
      </c>
    </row>
    <row r="111" spans="2:5">
      <c r="B111" s="26" t="str">
        <f>BDI_Est!$A101</f>
        <v/>
      </c>
      <c r="C111" s="50" t="str">
        <f>IF($B111="","",BDI_Est!$G101)</f>
        <v/>
      </c>
      <c r="D111" s="54" t="str">
        <f t="shared" si="2"/>
        <v/>
      </c>
      <c r="E111" s="54" t="str">
        <f t="shared" si="3"/>
        <v/>
      </c>
    </row>
    <row r="112" spans="2:5">
      <c r="B112" s="26" t="str">
        <f>BDI_Est!$A102</f>
        <v/>
      </c>
      <c r="C112" s="50" t="str">
        <f>IF($B112="","",BDI_Est!$G102)</f>
        <v/>
      </c>
      <c r="D112" s="54" t="str">
        <f t="shared" si="2"/>
        <v/>
      </c>
      <c r="E112" s="54" t="str">
        <f t="shared" si="3"/>
        <v/>
      </c>
    </row>
    <row r="113" spans="2:5">
      <c r="B113" s="26" t="str">
        <f>BDI_Est!$A103</f>
        <v/>
      </c>
      <c r="C113" s="50" t="str">
        <f>IF($B113="","",BDI_Est!$G103)</f>
        <v/>
      </c>
      <c r="D113" s="54" t="str">
        <f t="shared" si="2"/>
        <v/>
      </c>
      <c r="E113" s="54" t="str">
        <f t="shared" si="3"/>
        <v/>
      </c>
    </row>
    <row r="114" spans="2:5">
      <c r="B114" s="26" t="str">
        <f>BDI_Est!$A104</f>
        <v/>
      </c>
      <c r="C114" s="50" t="str">
        <f>IF($B114="","",BDI_Est!$G104)</f>
        <v/>
      </c>
      <c r="D114" s="54" t="str">
        <f t="shared" si="2"/>
        <v/>
      </c>
      <c r="E114" s="54" t="str">
        <f t="shared" si="3"/>
        <v/>
      </c>
    </row>
    <row r="115" spans="2:5">
      <c r="B115" s="26" t="str">
        <f>BDI_Est!$A105</f>
        <v/>
      </c>
      <c r="C115" s="50" t="str">
        <f>IF($B115="","",BDI_Est!$G105)</f>
        <v/>
      </c>
      <c r="D115" s="54" t="str">
        <f t="shared" si="2"/>
        <v/>
      </c>
      <c r="E115" s="54" t="str">
        <f t="shared" si="3"/>
        <v/>
      </c>
    </row>
    <row r="116" spans="2:5">
      <c r="B116" s="26" t="str">
        <f>BDI_Est!$A106</f>
        <v/>
      </c>
      <c r="C116" s="50" t="str">
        <f>IF($B116="","",BDI_Est!$G106)</f>
        <v/>
      </c>
      <c r="D116" s="54" t="str">
        <f t="shared" si="2"/>
        <v/>
      </c>
      <c r="E116" s="54" t="str">
        <f t="shared" si="3"/>
        <v/>
      </c>
    </row>
    <row r="117" spans="2:5">
      <c r="B117" s="26" t="str">
        <f>BDI_Est!$A107</f>
        <v/>
      </c>
      <c r="C117" s="50" t="str">
        <f>IF($B117="","",BDI_Est!$G107)</f>
        <v/>
      </c>
      <c r="D117" s="54" t="str">
        <f t="shared" si="2"/>
        <v/>
      </c>
      <c r="E117" s="54" t="str">
        <f t="shared" si="3"/>
        <v/>
      </c>
    </row>
    <row r="118" spans="2:5">
      <c r="B118" s="26" t="str">
        <f>BDI_Est!$A108</f>
        <v/>
      </c>
      <c r="C118" s="50" t="str">
        <f>IF($B118="","",BDI_Est!$G108)</f>
        <v/>
      </c>
      <c r="D118" s="54" t="str">
        <f t="shared" si="2"/>
        <v/>
      </c>
      <c r="E118" s="54" t="str">
        <f t="shared" si="3"/>
        <v/>
      </c>
    </row>
    <row r="119" spans="2:5">
      <c r="B119" s="26" t="str">
        <f>BDI_Est!$A109</f>
        <v/>
      </c>
      <c r="C119" s="50" t="str">
        <f>IF($B119="","",BDI_Est!$G109)</f>
        <v/>
      </c>
      <c r="D119" s="54" t="str">
        <f t="shared" si="2"/>
        <v/>
      </c>
      <c r="E119" s="54" t="str">
        <f t="shared" si="3"/>
        <v/>
      </c>
    </row>
    <row r="120" spans="2:5">
      <c r="B120" s="26" t="str">
        <f>BDI_Est!$A110</f>
        <v/>
      </c>
      <c r="C120" s="50" t="str">
        <f>IF($B120="","",BDI_Est!$G110)</f>
        <v/>
      </c>
      <c r="D120" s="54" t="str">
        <f t="shared" si="2"/>
        <v/>
      </c>
      <c r="E120" s="54" t="str">
        <f t="shared" si="3"/>
        <v/>
      </c>
    </row>
    <row r="121" spans="2:5">
      <c r="B121" s="26" t="str">
        <f>BDI_Est!$A111</f>
        <v/>
      </c>
      <c r="C121" s="50" t="str">
        <f>IF($B121="","",BDI_Est!$G111)</f>
        <v/>
      </c>
      <c r="D121" s="54" t="str">
        <f t="shared" si="2"/>
        <v/>
      </c>
      <c r="E121" s="54" t="str">
        <f t="shared" si="3"/>
        <v/>
      </c>
    </row>
    <row r="122" spans="2:5">
      <c r="B122" s="26" t="str">
        <f>BDI_Est!$A112</f>
        <v/>
      </c>
      <c r="C122" s="50" t="str">
        <f>IF($B122="","",BDI_Est!$G112)</f>
        <v/>
      </c>
      <c r="D122" s="54" t="str">
        <f t="shared" si="2"/>
        <v/>
      </c>
      <c r="E122" s="54" t="str">
        <f t="shared" si="3"/>
        <v/>
      </c>
    </row>
    <row r="123" spans="2:5">
      <c r="B123" s="26" t="str">
        <f>BDI_Est!$A113</f>
        <v/>
      </c>
      <c r="C123" s="50" t="str">
        <f>IF($B123="","",BDI_Est!$G113)</f>
        <v/>
      </c>
      <c r="D123" s="54" t="str">
        <f t="shared" si="2"/>
        <v/>
      </c>
      <c r="E123" s="54" t="str">
        <f t="shared" si="3"/>
        <v/>
      </c>
    </row>
    <row r="124" spans="2:5">
      <c r="B124" s="26" t="str">
        <f>BDI_Est!$A114</f>
        <v/>
      </c>
      <c r="C124" s="50" t="str">
        <f>IF($B124="","",BDI_Est!$G114)</f>
        <v/>
      </c>
      <c r="D124" s="54" t="str">
        <f t="shared" si="2"/>
        <v/>
      </c>
      <c r="E124" s="54" t="str">
        <f t="shared" si="3"/>
        <v/>
      </c>
    </row>
    <row r="125" spans="2:5">
      <c r="B125" s="26" t="str">
        <f>BDI_Est!$A115</f>
        <v/>
      </c>
      <c r="C125" s="50" t="str">
        <f>IF($B125="","",BDI_Est!$G115)</f>
        <v/>
      </c>
      <c r="D125" s="54" t="str">
        <f t="shared" si="2"/>
        <v/>
      </c>
      <c r="E125" s="54" t="str">
        <f t="shared" si="3"/>
        <v/>
      </c>
    </row>
    <row r="126" spans="2:5">
      <c r="B126" s="26" t="str">
        <f>BDI_Est!$A116</f>
        <v/>
      </c>
      <c r="C126" s="50" t="str">
        <f>IF($B126="","",BDI_Est!$G116)</f>
        <v/>
      </c>
      <c r="D126" s="54" t="str">
        <f t="shared" si="2"/>
        <v/>
      </c>
      <c r="E126" s="54" t="str">
        <f t="shared" si="3"/>
        <v/>
      </c>
    </row>
    <row r="127" spans="2:5">
      <c r="B127" s="26" t="str">
        <f>BDI_Est!$A117</f>
        <v/>
      </c>
      <c r="C127" s="50" t="str">
        <f>IF($B127="","",BDI_Est!$G117)</f>
        <v/>
      </c>
      <c r="D127" s="54" t="str">
        <f t="shared" si="2"/>
        <v/>
      </c>
      <c r="E127" s="54" t="str">
        <f t="shared" si="3"/>
        <v/>
      </c>
    </row>
    <row r="128" spans="2:5">
      <c r="B128" s="26" t="str">
        <f>BDI_Est!$A118</f>
        <v/>
      </c>
      <c r="C128" s="50" t="str">
        <f>IF($B128="","",BDI_Est!$G118)</f>
        <v/>
      </c>
      <c r="D128" s="54" t="str">
        <f t="shared" si="2"/>
        <v/>
      </c>
      <c r="E128" s="54" t="str">
        <f t="shared" si="3"/>
        <v/>
      </c>
    </row>
    <row r="129" spans="2:5">
      <c r="B129" s="26" t="str">
        <f>BDI_Est!$A119</f>
        <v/>
      </c>
      <c r="C129" s="50" t="str">
        <f>IF($B129="","",BDI_Est!$G119)</f>
        <v/>
      </c>
      <c r="D129" s="54" t="str">
        <f t="shared" si="2"/>
        <v/>
      </c>
      <c r="E129" s="54" t="str">
        <f t="shared" si="3"/>
        <v/>
      </c>
    </row>
    <row r="130" spans="2:5">
      <c r="B130" s="26" t="str">
        <f>BDI_Est!$A120</f>
        <v/>
      </c>
      <c r="C130" s="50" t="str">
        <f>IF($B130="","",BDI_Est!$G120)</f>
        <v/>
      </c>
      <c r="D130" s="54" t="str">
        <f t="shared" si="2"/>
        <v/>
      </c>
      <c r="E130" s="54" t="str">
        <f t="shared" si="3"/>
        <v/>
      </c>
    </row>
    <row r="131" spans="2:5">
      <c r="B131" s="26" t="str">
        <f>BDI_Est!$A121</f>
        <v/>
      </c>
      <c r="C131" s="50" t="str">
        <f>IF($B131="","",BDI_Est!$G121)</f>
        <v/>
      </c>
      <c r="D131" s="54" t="str">
        <f t="shared" si="2"/>
        <v/>
      </c>
      <c r="E131" s="54" t="str">
        <f t="shared" si="3"/>
        <v/>
      </c>
    </row>
    <row r="132" spans="2:5">
      <c r="B132" s="26" t="str">
        <f>BDI_Est!$A122</f>
        <v/>
      </c>
      <c r="C132" s="50" t="str">
        <f>IF($B132="","",BDI_Est!$G122)</f>
        <v/>
      </c>
      <c r="D132" s="54" t="str">
        <f t="shared" si="2"/>
        <v/>
      </c>
      <c r="E132" s="54" t="str">
        <f t="shared" si="3"/>
        <v/>
      </c>
    </row>
    <row r="133" spans="2:5">
      <c r="B133" s="26" t="str">
        <f>BDI_Est!$A123</f>
        <v/>
      </c>
      <c r="C133" s="50" t="str">
        <f>IF($B133="","",BDI_Est!$G123)</f>
        <v/>
      </c>
      <c r="D133" s="54" t="str">
        <f t="shared" si="2"/>
        <v/>
      </c>
      <c r="E133" s="54" t="str">
        <f t="shared" si="3"/>
        <v/>
      </c>
    </row>
    <row r="134" spans="2:5">
      <c r="B134" s="26" t="str">
        <f>BDI_Est!$A124</f>
        <v/>
      </c>
      <c r="C134" s="50" t="str">
        <f>IF($B134="","",BDI_Est!$G124)</f>
        <v/>
      </c>
      <c r="D134" s="54" t="str">
        <f t="shared" si="2"/>
        <v/>
      </c>
      <c r="E134" s="54" t="str">
        <f t="shared" si="3"/>
        <v/>
      </c>
    </row>
    <row r="135" spans="2:5">
      <c r="B135" s="26" t="str">
        <f>BDI_Est!$A125</f>
        <v/>
      </c>
      <c r="C135" s="50" t="str">
        <f>IF($B135="","",BDI_Est!$G125)</f>
        <v/>
      </c>
      <c r="D135" s="54" t="str">
        <f t="shared" si="2"/>
        <v/>
      </c>
      <c r="E135" s="54" t="str">
        <f t="shared" si="3"/>
        <v/>
      </c>
    </row>
    <row r="136" spans="2:5">
      <c r="B136" s="26" t="str">
        <f>BDI_Est!$A126</f>
        <v/>
      </c>
      <c r="C136" s="50" t="str">
        <f>IF($B136="","",BDI_Est!$G126)</f>
        <v/>
      </c>
      <c r="D136" s="54" t="str">
        <f t="shared" si="2"/>
        <v/>
      </c>
      <c r="E136" s="54" t="str">
        <f t="shared" si="3"/>
        <v/>
      </c>
    </row>
    <row r="137" spans="2:5">
      <c r="B137" s="26" t="str">
        <f>BDI_Est!$A127</f>
        <v/>
      </c>
      <c r="C137" s="50" t="str">
        <f>IF($B137="","",BDI_Est!$G127)</f>
        <v/>
      </c>
      <c r="D137" s="54" t="str">
        <f t="shared" si="2"/>
        <v/>
      </c>
      <c r="E137" s="54" t="str">
        <f t="shared" si="3"/>
        <v/>
      </c>
    </row>
    <row r="138" spans="2:5">
      <c r="B138" s="26" t="str">
        <f>BDI_Est!$A128</f>
        <v/>
      </c>
      <c r="C138" s="50" t="str">
        <f>IF($B138="","",BDI_Est!$G128)</f>
        <v/>
      </c>
      <c r="D138" s="54" t="str">
        <f t="shared" si="2"/>
        <v/>
      </c>
      <c r="E138" s="54" t="str">
        <f t="shared" si="3"/>
        <v/>
      </c>
    </row>
    <row r="139" spans="2:5">
      <c r="B139" s="26" t="str">
        <f>BDI_Est!$A129</f>
        <v/>
      </c>
      <c r="C139" s="50" t="str">
        <f>IF($B139="","",BDI_Est!$G129)</f>
        <v/>
      </c>
      <c r="D139" s="54" t="str">
        <f t="shared" si="2"/>
        <v/>
      </c>
      <c r="E139" s="54" t="str">
        <f t="shared" si="3"/>
        <v/>
      </c>
    </row>
    <row r="140" spans="2:5">
      <c r="B140" s="26" t="str">
        <f>BDI_Est!$A130</f>
        <v/>
      </c>
      <c r="C140" s="50" t="str">
        <f>IF($B140="","",BDI_Est!$G130)</f>
        <v/>
      </c>
      <c r="D140" s="54" t="str">
        <f t="shared" si="2"/>
        <v/>
      </c>
      <c r="E140" s="54" t="str">
        <f t="shared" si="3"/>
        <v/>
      </c>
    </row>
    <row r="141" spans="2:5">
      <c r="B141" s="26" t="str">
        <f>BDI_Est!$A131</f>
        <v/>
      </c>
      <c r="C141" s="50" t="str">
        <f>IF($B141="","",BDI_Est!$G131)</f>
        <v/>
      </c>
      <c r="D141" s="54" t="str">
        <f t="shared" si="2"/>
        <v/>
      </c>
      <c r="E141" s="54" t="str">
        <f t="shared" si="3"/>
        <v/>
      </c>
    </row>
    <row r="142" spans="2:5">
      <c r="B142" s="26" t="str">
        <f>BDI_Est!$A132</f>
        <v/>
      </c>
      <c r="C142" s="50" t="str">
        <f>IF($B142="","",BDI_Est!$G132)</f>
        <v/>
      </c>
      <c r="D142" s="54" t="str">
        <f t="shared" si="2"/>
        <v/>
      </c>
      <c r="E142" s="54" t="str">
        <f t="shared" si="3"/>
        <v/>
      </c>
    </row>
    <row r="143" spans="2:5">
      <c r="B143" s="26" t="str">
        <f>BDI_Est!$A133</f>
        <v/>
      </c>
      <c r="C143" s="50" t="str">
        <f>IF($B143="","",BDI_Est!$G133)</f>
        <v/>
      </c>
      <c r="D143" s="54" t="str">
        <f t="shared" ref="D143:D206" si="4">IF(AND(ISNUMBER(C143),ISNUMBER($C$6)),C143/$C$6,"")</f>
        <v/>
      </c>
      <c r="E143" s="54" t="str">
        <f t="shared" ref="E143:E206" si="5">IF(AND(ISNUMBER(C143),ISNUMBER($C$9)),C143/$C$9*$C$10,"")</f>
        <v/>
      </c>
    </row>
    <row r="144" spans="2:5">
      <c r="B144" s="26" t="str">
        <f>BDI_Est!$A134</f>
        <v/>
      </c>
      <c r="C144" s="50" t="str">
        <f>IF($B144="","",BDI_Est!$G134)</f>
        <v/>
      </c>
      <c r="D144" s="54" t="str">
        <f t="shared" si="4"/>
        <v/>
      </c>
      <c r="E144" s="54" t="str">
        <f t="shared" si="5"/>
        <v/>
      </c>
    </row>
    <row r="145" spans="2:5">
      <c r="B145" s="26" t="str">
        <f>BDI_Est!$A135</f>
        <v/>
      </c>
      <c r="C145" s="50" t="str">
        <f>IF($B145="","",BDI_Est!$G135)</f>
        <v/>
      </c>
      <c r="D145" s="54" t="str">
        <f t="shared" si="4"/>
        <v/>
      </c>
      <c r="E145" s="54" t="str">
        <f t="shared" si="5"/>
        <v/>
      </c>
    </row>
    <row r="146" spans="2:5">
      <c r="B146" s="26" t="str">
        <f>BDI_Est!$A136</f>
        <v/>
      </c>
      <c r="C146" s="50" t="str">
        <f>IF($B146="","",BDI_Est!$G136)</f>
        <v/>
      </c>
      <c r="D146" s="54" t="str">
        <f t="shared" si="4"/>
        <v/>
      </c>
      <c r="E146" s="54" t="str">
        <f t="shared" si="5"/>
        <v/>
      </c>
    </row>
    <row r="147" spans="2:5">
      <c r="B147" s="26" t="str">
        <f>BDI_Est!$A137</f>
        <v/>
      </c>
      <c r="C147" s="50" t="str">
        <f>IF($B147="","",BDI_Est!$G137)</f>
        <v/>
      </c>
      <c r="D147" s="54" t="str">
        <f t="shared" si="4"/>
        <v/>
      </c>
      <c r="E147" s="54" t="str">
        <f t="shared" si="5"/>
        <v/>
      </c>
    </row>
    <row r="148" spans="2:5">
      <c r="B148" s="26" t="str">
        <f>BDI_Est!$A138</f>
        <v/>
      </c>
      <c r="C148" s="50" t="str">
        <f>IF($B148="","",BDI_Est!$G138)</f>
        <v/>
      </c>
      <c r="D148" s="54" t="str">
        <f t="shared" si="4"/>
        <v/>
      </c>
      <c r="E148" s="54" t="str">
        <f t="shared" si="5"/>
        <v/>
      </c>
    </row>
    <row r="149" spans="2:5">
      <c r="B149" s="26" t="str">
        <f>BDI_Est!$A139</f>
        <v/>
      </c>
      <c r="C149" s="50" t="str">
        <f>IF($B149="","",BDI_Est!$G139)</f>
        <v/>
      </c>
      <c r="D149" s="54" t="str">
        <f t="shared" si="4"/>
        <v/>
      </c>
      <c r="E149" s="54" t="str">
        <f t="shared" si="5"/>
        <v/>
      </c>
    </row>
    <row r="150" spans="2:5">
      <c r="B150" s="26" t="str">
        <f>BDI_Est!$A140</f>
        <v/>
      </c>
      <c r="C150" s="50" t="str">
        <f>IF($B150="","",BDI_Est!$G140)</f>
        <v/>
      </c>
      <c r="D150" s="54" t="str">
        <f t="shared" si="4"/>
        <v/>
      </c>
      <c r="E150" s="54" t="str">
        <f t="shared" si="5"/>
        <v/>
      </c>
    </row>
    <row r="151" spans="2:5">
      <c r="B151" s="26" t="str">
        <f>BDI_Est!$A141</f>
        <v/>
      </c>
      <c r="C151" s="50" t="str">
        <f>IF($B151="","",BDI_Est!$G141)</f>
        <v/>
      </c>
      <c r="D151" s="54" t="str">
        <f t="shared" si="4"/>
        <v/>
      </c>
      <c r="E151" s="54" t="str">
        <f t="shared" si="5"/>
        <v/>
      </c>
    </row>
    <row r="152" spans="2:5">
      <c r="B152" s="26" t="str">
        <f>BDI_Est!$A142</f>
        <v/>
      </c>
      <c r="C152" s="50" t="str">
        <f>IF($B152="","",BDI_Est!$G142)</f>
        <v/>
      </c>
      <c r="D152" s="54" t="str">
        <f t="shared" si="4"/>
        <v/>
      </c>
      <c r="E152" s="54" t="str">
        <f t="shared" si="5"/>
        <v/>
      </c>
    </row>
    <row r="153" spans="2:5">
      <c r="B153" s="26" t="str">
        <f>BDI_Est!$A143</f>
        <v/>
      </c>
      <c r="C153" s="50" t="str">
        <f>IF($B153="","",BDI_Est!$G143)</f>
        <v/>
      </c>
      <c r="D153" s="54" t="str">
        <f t="shared" si="4"/>
        <v/>
      </c>
      <c r="E153" s="54" t="str">
        <f t="shared" si="5"/>
        <v/>
      </c>
    </row>
    <row r="154" spans="2:5">
      <c r="B154" s="26" t="str">
        <f>BDI_Est!$A144</f>
        <v/>
      </c>
      <c r="C154" s="50" t="str">
        <f>IF($B154="","",BDI_Est!$G144)</f>
        <v/>
      </c>
      <c r="D154" s="54" t="str">
        <f t="shared" si="4"/>
        <v/>
      </c>
      <c r="E154" s="54" t="str">
        <f t="shared" si="5"/>
        <v/>
      </c>
    </row>
    <row r="155" spans="2:5">
      <c r="B155" s="26" t="str">
        <f>BDI_Est!$A145</f>
        <v/>
      </c>
      <c r="C155" s="50" t="str">
        <f>IF($B155="","",BDI_Est!$G145)</f>
        <v/>
      </c>
      <c r="D155" s="54" t="str">
        <f t="shared" si="4"/>
        <v/>
      </c>
      <c r="E155" s="54" t="str">
        <f t="shared" si="5"/>
        <v/>
      </c>
    </row>
    <row r="156" spans="2:5">
      <c r="B156" s="26" t="str">
        <f>BDI_Est!$A146</f>
        <v/>
      </c>
      <c r="C156" s="50" t="str">
        <f>IF($B156="","",BDI_Est!$G146)</f>
        <v/>
      </c>
      <c r="D156" s="54" t="str">
        <f t="shared" si="4"/>
        <v/>
      </c>
      <c r="E156" s="54" t="str">
        <f t="shared" si="5"/>
        <v/>
      </c>
    </row>
    <row r="157" spans="2:5">
      <c r="B157" s="26" t="str">
        <f>BDI_Est!$A147</f>
        <v/>
      </c>
      <c r="C157" s="50" t="str">
        <f>IF($B157="","",BDI_Est!$G147)</f>
        <v/>
      </c>
      <c r="D157" s="54" t="str">
        <f t="shared" si="4"/>
        <v/>
      </c>
      <c r="E157" s="54" t="str">
        <f t="shared" si="5"/>
        <v/>
      </c>
    </row>
    <row r="158" spans="2:5">
      <c r="B158" s="26" t="str">
        <f>BDI_Est!$A148</f>
        <v/>
      </c>
      <c r="C158" s="50" t="str">
        <f>IF($B158="","",BDI_Est!$G148)</f>
        <v/>
      </c>
      <c r="D158" s="54" t="str">
        <f t="shared" si="4"/>
        <v/>
      </c>
      <c r="E158" s="54" t="str">
        <f t="shared" si="5"/>
        <v/>
      </c>
    </row>
    <row r="159" spans="2:5">
      <c r="B159" s="26" t="str">
        <f>BDI_Est!$A149</f>
        <v/>
      </c>
      <c r="C159" s="50" t="str">
        <f>IF($B159="","",BDI_Est!$G149)</f>
        <v/>
      </c>
      <c r="D159" s="54" t="str">
        <f t="shared" si="4"/>
        <v/>
      </c>
      <c r="E159" s="54" t="str">
        <f t="shared" si="5"/>
        <v/>
      </c>
    </row>
    <row r="160" spans="2:5">
      <c r="B160" s="26" t="str">
        <f>BDI_Est!$A150</f>
        <v/>
      </c>
      <c r="C160" s="50" t="str">
        <f>IF($B160="","",BDI_Est!$G150)</f>
        <v/>
      </c>
      <c r="D160" s="54" t="str">
        <f t="shared" si="4"/>
        <v/>
      </c>
      <c r="E160" s="54" t="str">
        <f t="shared" si="5"/>
        <v/>
      </c>
    </row>
    <row r="161" spans="2:5">
      <c r="B161" s="26" t="str">
        <f>BDI_Est!$A151</f>
        <v/>
      </c>
      <c r="C161" s="50" t="str">
        <f>IF($B161="","",BDI_Est!$G151)</f>
        <v/>
      </c>
      <c r="D161" s="54" t="str">
        <f t="shared" si="4"/>
        <v/>
      </c>
      <c r="E161" s="54" t="str">
        <f t="shared" si="5"/>
        <v/>
      </c>
    </row>
    <row r="162" spans="2:5">
      <c r="B162" s="26" t="str">
        <f>BDI_Est!$A152</f>
        <v/>
      </c>
      <c r="C162" s="50" t="str">
        <f>IF($B162="","",BDI_Est!$G152)</f>
        <v/>
      </c>
      <c r="D162" s="54" t="str">
        <f t="shared" si="4"/>
        <v/>
      </c>
      <c r="E162" s="54" t="str">
        <f t="shared" si="5"/>
        <v/>
      </c>
    </row>
    <row r="163" spans="2:5">
      <c r="B163" s="26" t="str">
        <f>BDI_Est!$A153</f>
        <v/>
      </c>
      <c r="C163" s="50" t="str">
        <f>IF($B163="","",BDI_Est!$G153)</f>
        <v/>
      </c>
      <c r="D163" s="54" t="str">
        <f t="shared" si="4"/>
        <v/>
      </c>
      <c r="E163" s="54" t="str">
        <f t="shared" si="5"/>
        <v/>
      </c>
    </row>
    <row r="164" spans="2:5">
      <c r="B164" s="26" t="str">
        <f>BDI_Est!$A154</f>
        <v/>
      </c>
      <c r="C164" s="50" t="str">
        <f>IF($B164="","",BDI_Est!$G154)</f>
        <v/>
      </c>
      <c r="D164" s="54" t="str">
        <f t="shared" si="4"/>
        <v/>
      </c>
      <c r="E164" s="54" t="str">
        <f t="shared" si="5"/>
        <v/>
      </c>
    </row>
    <row r="165" spans="2:5">
      <c r="B165" s="26" t="str">
        <f>BDI_Est!$A155</f>
        <v/>
      </c>
      <c r="C165" s="50" t="str">
        <f>IF($B165="","",BDI_Est!$G155)</f>
        <v/>
      </c>
      <c r="D165" s="54" t="str">
        <f t="shared" si="4"/>
        <v/>
      </c>
      <c r="E165" s="54" t="str">
        <f t="shared" si="5"/>
        <v/>
      </c>
    </row>
    <row r="166" spans="2:5">
      <c r="B166" s="26" t="str">
        <f>BDI_Est!$A156</f>
        <v/>
      </c>
      <c r="C166" s="50" t="str">
        <f>IF($B166="","",BDI_Est!$G156)</f>
        <v/>
      </c>
      <c r="D166" s="54" t="str">
        <f t="shared" si="4"/>
        <v/>
      </c>
      <c r="E166" s="54" t="str">
        <f t="shared" si="5"/>
        <v/>
      </c>
    </row>
    <row r="167" spans="2:5">
      <c r="B167" s="26" t="str">
        <f>BDI_Est!$A157</f>
        <v/>
      </c>
      <c r="C167" s="50" t="str">
        <f>IF($B167="","",BDI_Est!$G157)</f>
        <v/>
      </c>
      <c r="D167" s="54" t="str">
        <f t="shared" si="4"/>
        <v/>
      </c>
      <c r="E167" s="54" t="str">
        <f t="shared" si="5"/>
        <v/>
      </c>
    </row>
    <row r="168" spans="2:5">
      <c r="B168" s="26" t="str">
        <f>BDI_Est!$A158</f>
        <v/>
      </c>
      <c r="C168" s="50" t="str">
        <f>IF($B168="","",BDI_Est!$G158)</f>
        <v/>
      </c>
      <c r="D168" s="54" t="str">
        <f t="shared" si="4"/>
        <v/>
      </c>
      <c r="E168" s="54" t="str">
        <f t="shared" si="5"/>
        <v/>
      </c>
    </row>
    <row r="169" spans="2:5">
      <c r="B169" s="26" t="str">
        <f>BDI_Est!$A159</f>
        <v/>
      </c>
      <c r="C169" s="50" t="str">
        <f>IF($B169="","",BDI_Est!$G159)</f>
        <v/>
      </c>
      <c r="D169" s="54" t="str">
        <f t="shared" si="4"/>
        <v/>
      </c>
      <c r="E169" s="54" t="str">
        <f t="shared" si="5"/>
        <v/>
      </c>
    </row>
    <row r="170" spans="2:5">
      <c r="B170" s="26" t="str">
        <f>BDI_Est!$A160</f>
        <v/>
      </c>
      <c r="C170" s="50" t="str">
        <f>IF($B170="","",BDI_Est!$G160)</f>
        <v/>
      </c>
      <c r="D170" s="54" t="str">
        <f t="shared" si="4"/>
        <v/>
      </c>
      <c r="E170" s="54" t="str">
        <f t="shared" si="5"/>
        <v/>
      </c>
    </row>
    <row r="171" spans="2:5">
      <c r="B171" s="26" t="str">
        <f>BDI_Est!$A161</f>
        <v/>
      </c>
      <c r="C171" s="50" t="str">
        <f>IF($B171="","",BDI_Est!$G161)</f>
        <v/>
      </c>
      <c r="D171" s="54" t="str">
        <f t="shared" si="4"/>
        <v/>
      </c>
      <c r="E171" s="54" t="str">
        <f t="shared" si="5"/>
        <v/>
      </c>
    </row>
    <row r="172" spans="2:5">
      <c r="B172" s="26" t="str">
        <f>BDI_Est!$A162</f>
        <v/>
      </c>
      <c r="C172" s="50" t="str">
        <f>IF($B172="","",BDI_Est!$G162)</f>
        <v/>
      </c>
      <c r="D172" s="54" t="str">
        <f t="shared" si="4"/>
        <v/>
      </c>
      <c r="E172" s="54" t="str">
        <f t="shared" si="5"/>
        <v/>
      </c>
    </row>
    <row r="173" spans="2:5">
      <c r="B173" s="26" t="str">
        <f>BDI_Est!$A163</f>
        <v/>
      </c>
      <c r="C173" s="50" t="str">
        <f>IF($B173="","",BDI_Est!$G163)</f>
        <v/>
      </c>
      <c r="D173" s="54" t="str">
        <f t="shared" si="4"/>
        <v/>
      </c>
      <c r="E173" s="54" t="str">
        <f t="shared" si="5"/>
        <v/>
      </c>
    </row>
    <row r="174" spans="2:5">
      <c r="B174" s="26" t="str">
        <f>BDI_Est!$A164</f>
        <v/>
      </c>
      <c r="C174" s="50" t="str">
        <f>IF($B174="","",BDI_Est!$G164)</f>
        <v/>
      </c>
      <c r="D174" s="54" t="str">
        <f t="shared" si="4"/>
        <v/>
      </c>
      <c r="E174" s="54" t="str">
        <f t="shared" si="5"/>
        <v/>
      </c>
    </row>
    <row r="175" spans="2:5">
      <c r="B175" s="26" t="str">
        <f>BDI_Est!$A165</f>
        <v/>
      </c>
      <c r="C175" s="50" t="str">
        <f>IF($B175="","",BDI_Est!$G165)</f>
        <v/>
      </c>
      <c r="D175" s="54" t="str">
        <f t="shared" si="4"/>
        <v/>
      </c>
      <c r="E175" s="54" t="str">
        <f t="shared" si="5"/>
        <v/>
      </c>
    </row>
    <row r="176" spans="2:5">
      <c r="B176" s="26" t="str">
        <f>BDI_Est!$A166</f>
        <v/>
      </c>
      <c r="C176" s="50" t="str">
        <f>IF($B176="","",BDI_Est!$G166)</f>
        <v/>
      </c>
      <c r="D176" s="54" t="str">
        <f t="shared" si="4"/>
        <v/>
      </c>
      <c r="E176" s="54" t="str">
        <f t="shared" si="5"/>
        <v/>
      </c>
    </row>
    <row r="177" spans="2:5">
      <c r="B177" s="26" t="str">
        <f>BDI_Est!$A167</f>
        <v/>
      </c>
      <c r="C177" s="50" t="str">
        <f>IF($B177="","",BDI_Est!$G167)</f>
        <v/>
      </c>
      <c r="D177" s="54" t="str">
        <f t="shared" si="4"/>
        <v/>
      </c>
      <c r="E177" s="54" t="str">
        <f t="shared" si="5"/>
        <v/>
      </c>
    </row>
    <row r="178" spans="2:5">
      <c r="B178" s="26" t="str">
        <f>BDI_Est!$A168</f>
        <v/>
      </c>
      <c r="C178" s="50" t="str">
        <f>IF($B178="","",BDI_Est!$G168)</f>
        <v/>
      </c>
      <c r="D178" s="54" t="str">
        <f t="shared" si="4"/>
        <v/>
      </c>
      <c r="E178" s="54" t="str">
        <f t="shared" si="5"/>
        <v/>
      </c>
    </row>
    <row r="179" spans="2:5">
      <c r="B179" s="26" t="str">
        <f>BDI_Est!$A169</f>
        <v/>
      </c>
      <c r="C179" s="50" t="str">
        <f>IF($B179="","",BDI_Est!$G169)</f>
        <v/>
      </c>
      <c r="D179" s="54" t="str">
        <f t="shared" si="4"/>
        <v/>
      </c>
      <c r="E179" s="54" t="str">
        <f t="shared" si="5"/>
        <v/>
      </c>
    </row>
    <row r="180" spans="2:5">
      <c r="B180" s="26" t="str">
        <f>BDI_Est!$A170</f>
        <v/>
      </c>
      <c r="C180" s="50" t="str">
        <f>IF($B180="","",BDI_Est!$G170)</f>
        <v/>
      </c>
      <c r="D180" s="54" t="str">
        <f t="shared" si="4"/>
        <v/>
      </c>
      <c r="E180" s="54" t="str">
        <f t="shared" si="5"/>
        <v/>
      </c>
    </row>
    <row r="181" spans="2:5">
      <c r="B181" s="26" t="str">
        <f>BDI_Est!$A171</f>
        <v/>
      </c>
      <c r="C181" s="50" t="str">
        <f>IF($B181="","",BDI_Est!$G171)</f>
        <v/>
      </c>
      <c r="D181" s="54" t="str">
        <f t="shared" si="4"/>
        <v/>
      </c>
      <c r="E181" s="54" t="str">
        <f t="shared" si="5"/>
        <v/>
      </c>
    </row>
    <row r="182" spans="2:5">
      <c r="B182" s="26" t="str">
        <f>BDI_Est!$A172</f>
        <v/>
      </c>
      <c r="C182" s="50" t="str">
        <f>IF($B182="","",BDI_Est!$G172)</f>
        <v/>
      </c>
      <c r="D182" s="54" t="str">
        <f t="shared" si="4"/>
        <v/>
      </c>
      <c r="E182" s="54" t="str">
        <f t="shared" si="5"/>
        <v/>
      </c>
    </row>
    <row r="183" spans="2:5">
      <c r="B183" s="26" t="str">
        <f>BDI_Est!$A173</f>
        <v/>
      </c>
      <c r="C183" s="50" t="str">
        <f>IF($B183="","",BDI_Est!$G173)</f>
        <v/>
      </c>
      <c r="D183" s="54" t="str">
        <f t="shared" si="4"/>
        <v/>
      </c>
      <c r="E183" s="54" t="str">
        <f t="shared" si="5"/>
        <v/>
      </c>
    </row>
    <row r="184" spans="2:5">
      <c r="B184" s="26" t="str">
        <f>BDI_Est!$A174</f>
        <v/>
      </c>
      <c r="C184" s="50" t="str">
        <f>IF($B184="","",BDI_Est!$G174)</f>
        <v/>
      </c>
      <c r="D184" s="54" t="str">
        <f t="shared" si="4"/>
        <v/>
      </c>
      <c r="E184" s="54" t="str">
        <f t="shared" si="5"/>
        <v/>
      </c>
    </row>
    <row r="185" spans="2:5">
      <c r="B185" s="26" t="str">
        <f>BDI_Est!$A175</f>
        <v/>
      </c>
      <c r="C185" s="50" t="str">
        <f>IF($B185="","",BDI_Est!$G175)</f>
        <v/>
      </c>
      <c r="D185" s="54" t="str">
        <f t="shared" si="4"/>
        <v/>
      </c>
      <c r="E185" s="54" t="str">
        <f t="shared" si="5"/>
        <v/>
      </c>
    </row>
    <row r="186" spans="2:5">
      <c r="B186" s="26" t="str">
        <f>BDI_Est!$A176</f>
        <v/>
      </c>
      <c r="C186" s="50" t="str">
        <f>IF($B186="","",BDI_Est!$G176)</f>
        <v/>
      </c>
      <c r="D186" s="54" t="str">
        <f t="shared" si="4"/>
        <v/>
      </c>
      <c r="E186" s="54" t="str">
        <f t="shared" si="5"/>
        <v/>
      </c>
    </row>
    <row r="187" spans="2:5">
      <c r="B187" s="26" t="str">
        <f>BDI_Est!$A177</f>
        <v/>
      </c>
      <c r="C187" s="50" t="str">
        <f>IF($B187="","",BDI_Est!$G177)</f>
        <v/>
      </c>
      <c r="D187" s="54" t="str">
        <f t="shared" si="4"/>
        <v/>
      </c>
      <c r="E187" s="54" t="str">
        <f t="shared" si="5"/>
        <v/>
      </c>
    </row>
    <row r="188" spans="2:5">
      <c r="B188" s="26" t="str">
        <f>BDI_Est!$A178</f>
        <v/>
      </c>
      <c r="C188" s="50" t="str">
        <f>IF($B188="","",BDI_Est!$G178)</f>
        <v/>
      </c>
      <c r="D188" s="54" t="str">
        <f t="shared" si="4"/>
        <v/>
      </c>
      <c r="E188" s="54" t="str">
        <f t="shared" si="5"/>
        <v/>
      </c>
    </row>
    <row r="189" spans="2:5">
      <c r="B189" s="26" t="str">
        <f>BDI_Est!$A179</f>
        <v/>
      </c>
      <c r="C189" s="50" t="str">
        <f>IF($B189="","",BDI_Est!$G179)</f>
        <v/>
      </c>
      <c r="D189" s="54" t="str">
        <f t="shared" si="4"/>
        <v/>
      </c>
      <c r="E189" s="54" t="str">
        <f t="shared" si="5"/>
        <v/>
      </c>
    </row>
    <row r="190" spans="2:5">
      <c r="B190" s="26" t="str">
        <f>BDI_Est!$A180</f>
        <v/>
      </c>
      <c r="C190" s="50" t="str">
        <f>IF($B190="","",BDI_Est!$G180)</f>
        <v/>
      </c>
      <c r="D190" s="54" t="str">
        <f t="shared" si="4"/>
        <v/>
      </c>
      <c r="E190" s="54" t="str">
        <f t="shared" si="5"/>
        <v/>
      </c>
    </row>
    <row r="191" spans="2:5">
      <c r="B191" s="26" t="str">
        <f>BDI_Est!$A181</f>
        <v/>
      </c>
      <c r="C191" s="50" t="str">
        <f>IF($B191="","",BDI_Est!$G181)</f>
        <v/>
      </c>
      <c r="D191" s="54" t="str">
        <f t="shared" si="4"/>
        <v/>
      </c>
      <c r="E191" s="54" t="str">
        <f t="shared" si="5"/>
        <v/>
      </c>
    </row>
    <row r="192" spans="2:5">
      <c r="B192" s="26" t="str">
        <f>BDI_Est!$A182</f>
        <v/>
      </c>
      <c r="C192" s="50" t="str">
        <f>IF($B192="","",BDI_Est!$G182)</f>
        <v/>
      </c>
      <c r="D192" s="54" t="str">
        <f t="shared" si="4"/>
        <v/>
      </c>
      <c r="E192" s="54" t="str">
        <f t="shared" si="5"/>
        <v/>
      </c>
    </row>
    <row r="193" spans="2:5">
      <c r="B193" s="26" t="str">
        <f>BDI_Est!$A183</f>
        <v/>
      </c>
      <c r="C193" s="50" t="str">
        <f>IF($B193="","",BDI_Est!$G183)</f>
        <v/>
      </c>
      <c r="D193" s="54" t="str">
        <f t="shared" si="4"/>
        <v/>
      </c>
      <c r="E193" s="54" t="str">
        <f t="shared" si="5"/>
        <v/>
      </c>
    </row>
    <row r="194" spans="2:5">
      <c r="B194" s="26" t="str">
        <f>BDI_Est!$A184</f>
        <v/>
      </c>
      <c r="C194" s="50" t="str">
        <f>IF($B194="","",BDI_Est!$G184)</f>
        <v/>
      </c>
      <c r="D194" s="54" t="str">
        <f t="shared" si="4"/>
        <v/>
      </c>
      <c r="E194" s="54" t="str">
        <f t="shared" si="5"/>
        <v/>
      </c>
    </row>
    <row r="195" spans="2:5">
      <c r="B195" s="26" t="str">
        <f>BDI_Est!$A185</f>
        <v/>
      </c>
      <c r="C195" s="50" t="str">
        <f>IF($B195="","",BDI_Est!$G185)</f>
        <v/>
      </c>
      <c r="D195" s="54" t="str">
        <f t="shared" si="4"/>
        <v/>
      </c>
      <c r="E195" s="54" t="str">
        <f t="shared" si="5"/>
        <v/>
      </c>
    </row>
    <row r="196" spans="2:5">
      <c r="B196" s="26" t="str">
        <f>BDI_Est!$A186</f>
        <v/>
      </c>
      <c r="C196" s="50" t="str">
        <f>IF($B196="","",BDI_Est!$G186)</f>
        <v/>
      </c>
      <c r="D196" s="54" t="str">
        <f t="shared" si="4"/>
        <v/>
      </c>
      <c r="E196" s="54" t="str">
        <f t="shared" si="5"/>
        <v/>
      </c>
    </row>
    <row r="197" spans="2:5">
      <c r="B197" s="26" t="str">
        <f>BDI_Est!$A187</f>
        <v/>
      </c>
      <c r="C197" s="50" t="str">
        <f>IF($B197="","",BDI_Est!$G187)</f>
        <v/>
      </c>
      <c r="D197" s="54" t="str">
        <f t="shared" si="4"/>
        <v/>
      </c>
      <c r="E197" s="54" t="str">
        <f t="shared" si="5"/>
        <v/>
      </c>
    </row>
    <row r="198" spans="2:5">
      <c r="B198" s="26" t="str">
        <f>BDI_Est!$A188</f>
        <v/>
      </c>
      <c r="C198" s="50" t="str">
        <f>IF($B198="","",BDI_Est!$G188)</f>
        <v/>
      </c>
      <c r="D198" s="54" t="str">
        <f t="shared" si="4"/>
        <v/>
      </c>
      <c r="E198" s="54" t="str">
        <f t="shared" si="5"/>
        <v/>
      </c>
    </row>
    <row r="199" spans="2:5">
      <c r="B199" s="26" t="str">
        <f>BDI_Est!$A189</f>
        <v/>
      </c>
      <c r="C199" s="50" t="str">
        <f>IF($B199="","",BDI_Est!$G189)</f>
        <v/>
      </c>
      <c r="D199" s="54" t="str">
        <f t="shared" si="4"/>
        <v/>
      </c>
      <c r="E199" s="54" t="str">
        <f t="shared" si="5"/>
        <v/>
      </c>
    </row>
    <row r="200" spans="2:5">
      <c r="B200" s="26" t="str">
        <f>BDI_Est!$A190</f>
        <v/>
      </c>
      <c r="C200" s="50" t="str">
        <f>IF($B200="","",BDI_Est!$G190)</f>
        <v/>
      </c>
      <c r="D200" s="54" t="str">
        <f t="shared" si="4"/>
        <v/>
      </c>
      <c r="E200" s="54" t="str">
        <f t="shared" si="5"/>
        <v/>
      </c>
    </row>
    <row r="201" spans="2:5">
      <c r="B201" s="26" t="str">
        <f>BDI_Est!$A191</f>
        <v/>
      </c>
      <c r="C201" s="50" t="str">
        <f>IF($B201="","",BDI_Est!$G191)</f>
        <v/>
      </c>
      <c r="D201" s="54" t="str">
        <f t="shared" si="4"/>
        <v/>
      </c>
      <c r="E201" s="54" t="str">
        <f t="shared" si="5"/>
        <v/>
      </c>
    </row>
    <row r="202" spans="2:5">
      <c r="B202" s="26" t="str">
        <f>BDI_Est!$A192</f>
        <v/>
      </c>
      <c r="C202" s="50" t="str">
        <f>IF($B202="","",BDI_Est!$G192)</f>
        <v/>
      </c>
      <c r="D202" s="54" t="str">
        <f t="shared" si="4"/>
        <v/>
      </c>
      <c r="E202" s="54" t="str">
        <f t="shared" si="5"/>
        <v/>
      </c>
    </row>
    <row r="203" spans="2:5">
      <c r="B203" s="26" t="str">
        <f>BDI_Est!$A193</f>
        <v/>
      </c>
      <c r="C203" s="50" t="str">
        <f>IF($B203="","",BDI_Est!$G193)</f>
        <v/>
      </c>
      <c r="D203" s="54" t="str">
        <f t="shared" si="4"/>
        <v/>
      </c>
      <c r="E203" s="54" t="str">
        <f t="shared" si="5"/>
        <v/>
      </c>
    </row>
    <row r="204" spans="2:5">
      <c r="B204" s="26" t="str">
        <f>BDI_Est!$A194</f>
        <v/>
      </c>
      <c r="C204" s="50" t="str">
        <f>IF($B204="","",BDI_Est!$G194)</f>
        <v/>
      </c>
      <c r="D204" s="54" t="str">
        <f t="shared" si="4"/>
        <v/>
      </c>
      <c r="E204" s="54" t="str">
        <f t="shared" si="5"/>
        <v/>
      </c>
    </row>
    <row r="205" spans="2:5">
      <c r="B205" s="26" t="str">
        <f>BDI_Est!$A195</f>
        <v/>
      </c>
      <c r="C205" s="50" t="str">
        <f>IF($B205="","",BDI_Est!$G195)</f>
        <v/>
      </c>
      <c r="D205" s="54" t="str">
        <f t="shared" si="4"/>
        <v/>
      </c>
      <c r="E205" s="54" t="str">
        <f t="shared" si="5"/>
        <v/>
      </c>
    </row>
    <row r="206" spans="2:5">
      <c r="B206" s="26" t="str">
        <f>BDI_Est!$A196</f>
        <v/>
      </c>
      <c r="C206" s="50" t="str">
        <f>IF($B206="","",BDI_Est!$G196)</f>
        <v/>
      </c>
      <c r="D206" s="54" t="str">
        <f t="shared" si="4"/>
        <v/>
      </c>
      <c r="E206" s="54" t="str">
        <f t="shared" si="5"/>
        <v/>
      </c>
    </row>
    <row r="207" spans="2:5">
      <c r="B207" s="26" t="str">
        <f>BDI_Est!$A197</f>
        <v/>
      </c>
      <c r="C207" s="50" t="str">
        <f>IF($B207="","",BDI_Est!$G197)</f>
        <v/>
      </c>
      <c r="D207" s="54" t="str">
        <f t="shared" ref="D207:D216" si="6">IF(AND(ISNUMBER(C207),ISNUMBER($C$6)),C207/$C$6,"")</f>
        <v/>
      </c>
      <c r="E207" s="54" t="str">
        <f t="shared" ref="E207:E216" si="7">IF(AND(ISNUMBER(C207),ISNUMBER($C$9)),C207/$C$9*$C$10,"")</f>
        <v/>
      </c>
    </row>
    <row r="208" spans="2:5">
      <c r="B208" s="26" t="str">
        <f>BDI_Est!$A198</f>
        <v/>
      </c>
      <c r="C208" s="50" t="str">
        <f>IF($B208="","",BDI_Est!$G198)</f>
        <v/>
      </c>
      <c r="D208" s="54" t="str">
        <f t="shared" si="6"/>
        <v/>
      </c>
      <c r="E208" s="54" t="str">
        <f t="shared" si="7"/>
        <v/>
      </c>
    </row>
    <row r="209" spans="2:5">
      <c r="B209" s="26" t="str">
        <f>BDI_Est!$A199</f>
        <v/>
      </c>
      <c r="C209" s="50" t="str">
        <f>IF($B209="","",BDI_Est!$G199)</f>
        <v/>
      </c>
      <c r="D209" s="54" t="str">
        <f t="shared" si="6"/>
        <v/>
      </c>
      <c r="E209" s="54" t="str">
        <f t="shared" si="7"/>
        <v/>
      </c>
    </row>
    <row r="210" spans="2:5">
      <c r="B210" s="26" t="str">
        <f>BDI_Est!$A200</f>
        <v/>
      </c>
      <c r="C210" s="50" t="str">
        <f>IF($B210="","",BDI_Est!$G200)</f>
        <v/>
      </c>
      <c r="D210" s="54" t="str">
        <f t="shared" si="6"/>
        <v/>
      </c>
      <c r="E210" s="54" t="str">
        <f t="shared" si="7"/>
        <v/>
      </c>
    </row>
    <row r="211" spans="2:5">
      <c r="B211" s="26" t="str">
        <f>BDI_Est!$A201</f>
        <v/>
      </c>
      <c r="C211" s="50" t="str">
        <f>IF($B211="","",BDI_Est!$G201)</f>
        <v/>
      </c>
      <c r="D211" s="54" t="str">
        <f t="shared" si="6"/>
        <v/>
      </c>
      <c r="E211" s="54" t="str">
        <f t="shared" si="7"/>
        <v/>
      </c>
    </row>
    <row r="212" spans="2:5">
      <c r="B212" s="26" t="str">
        <f>BDI_Est!$A202</f>
        <v/>
      </c>
      <c r="C212" s="50" t="str">
        <f>IF($B212="","",BDI_Est!$G202)</f>
        <v/>
      </c>
      <c r="D212" s="54" t="str">
        <f t="shared" si="6"/>
        <v/>
      </c>
      <c r="E212" s="54" t="str">
        <f t="shared" si="7"/>
        <v/>
      </c>
    </row>
    <row r="213" spans="2:5">
      <c r="B213" s="26" t="str">
        <f>BDI_Est!$A203</f>
        <v/>
      </c>
      <c r="C213" s="50" t="str">
        <f>IF($B213="","",BDI_Est!$G203)</f>
        <v/>
      </c>
      <c r="D213" s="54" t="str">
        <f t="shared" si="6"/>
        <v/>
      </c>
      <c r="E213" s="54" t="str">
        <f t="shared" si="7"/>
        <v/>
      </c>
    </row>
    <row r="214" spans="2:5">
      <c r="B214" s="26" t="str">
        <f>BDI_Est!$A204</f>
        <v/>
      </c>
      <c r="C214" s="50" t="str">
        <f>IF($B214="","",BDI_Est!$G204)</f>
        <v/>
      </c>
      <c r="D214" s="54" t="str">
        <f t="shared" si="6"/>
        <v/>
      </c>
      <c r="E214" s="54" t="str">
        <f t="shared" si="7"/>
        <v/>
      </c>
    </row>
    <row r="215" spans="2:5">
      <c r="B215" s="26" t="str">
        <f>BDI_Est!$A205</f>
        <v/>
      </c>
      <c r="C215" s="50" t="str">
        <f>IF($B215="","",BDI_Est!$G205)</f>
        <v/>
      </c>
      <c r="D215" s="54" t="str">
        <f t="shared" si="6"/>
        <v/>
      </c>
      <c r="E215" s="54" t="str">
        <f t="shared" si="7"/>
        <v/>
      </c>
    </row>
    <row r="216" spans="2:5">
      <c r="B216" s="26" t="str">
        <f>BDI_Est!$A206</f>
        <v/>
      </c>
      <c r="C216" s="50" t="str">
        <f>IF($B216="","",BDI_Est!$G206)</f>
        <v/>
      </c>
      <c r="D216" s="54" t="str">
        <f t="shared" si="6"/>
        <v/>
      </c>
      <c r="E216" s="54" t="str">
        <f t="shared" si="7"/>
        <v/>
      </c>
    </row>
  </sheetData>
  <sheetProtection sheet="1" objects="1" scenarios="1"/>
  <mergeCells count="2">
    <mergeCell ref="B2:E2"/>
    <mergeCell ref="B5:E5"/>
  </mergeCells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42"/>
  <sheetViews>
    <sheetView showGridLines="0" workbookViewId="0">
      <selection activeCell="F8" sqref="F8"/>
    </sheetView>
  </sheetViews>
  <sheetFormatPr defaultColWidth="10.28515625" defaultRowHeight="14.25"/>
  <cols>
    <col min="1" max="1" width="2.28515625" style="23" customWidth="1"/>
    <col min="2" max="2" width="28.140625" style="23" customWidth="1"/>
    <col min="3" max="3" width="17.7109375" style="23" customWidth="1"/>
    <col min="4" max="4" width="27.85546875" style="23" customWidth="1"/>
    <col min="5" max="5" width="22.140625" style="23" customWidth="1"/>
    <col min="6" max="6" width="28.28515625" style="23" customWidth="1"/>
    <col min="7" max="7" width="23.85546875" style="23" customWidth="1"/>
    <col min="8" max="16384" width="10.28515625" style="23"/>
  </cols>
  <sheetData>
    <row r="1" spans="1:7">
      <c r="B1" s="51" t="s">
        <v>46</v>
      </c>
      <c r="D1" s="41" t="s">
        <v>38</v>
      </c>
    </row>
    <row r="2" spans="1:7">
      <c r="B2" s="51"/>
    </row>
    <row r="3" spans="1:7">
      <c r="B3" s="51"/>
    </row>
    <row r="4" spans="1:7">
      <c r="B4" s="56"/>
      <c r="C4" s="57"/>
      <c r="D4" s="77" t="s">
        <v>93</v>
      </c>
      <c r="E4" s="76">
        <v>0.24</v>
      </c>
      <c r="F4" s="56"/>
      <c r="G4" s="57"/>
    </row>
    <row r="5" spans="1:7">
      <c r="B5" s="77" t="s">
        <v>55</v>
      </c>
      <c r="C5" s="78">
        <v>12.4</v>
      </c>
      <c r="D5" s="79" t="s">
        <v>101</v>
      </c>
      <c r="E5" s="60">
        <f>IF(OR(C5="",E4=""),"",C5/E4)</f>
        <v>51.666666666666671</v>
      </c>
      <c r="F5" s="56"/>
      <c r="G5" s="57"/>
    </row>
    <row r="6" spans="1:7">
      <c r="B6" s="77" t="s">
        <v>48</v>
      </c>
      <c r="C6" s="72">
        <v>15</v>
      </c>
      <c r="D6" s="77" t="s">
        <v>47</v>
      </c>
      <c r="E6" s="72">
        <f>IF(SUM(C7:E7)&lt;&gt;0,SUM(C7:E7),"")</f>
        <v>30</v>
      </c>
      <c r="F6" s="56"/>
      <c r="G6" s="57"/>
    </row>
    <row r="7" spans="1:7">
      <c r="B7" s="77" t="s">
        <v>94</v>
      </c>
      <c r="C7" s="72">
        <v>30</v>
      </c>
      <c r="D7" s="77" t="s">
        <v>95</v>
      </c>
      <c r="E7" s="72">
        <v>0</v>
      </c>
      <c r="F7" s="56"/>
      <c r="G7" s="57"/>
    </row>
    <row r="8" spans="1:7">
      <c r="A8" s="56"/>
      <c r="B8" s="77" t="s">
        <v>92</v>
      </c>
      <c r="C8" s="60">
        <f>IF(OR(C5=0,C7=0),"",C7/C5)</f>
        <v>2.4193548387096775</v>
      </c>
      <c r="D8" s="80" t="s">
        <v>98</v>
      </c>
      <c r="E8" s="60">
        <f>IF(C14="","",C14)</f>
        <v>103</v>
      </c>
      <c r="F8" s="56"/>
      <c r="G8" s="57"/>
    </row>
    <row r="9" spans="1:7">
      <c r="B9" s="22" t="s">
        <v>70</v>
      </c>
      <c r="C9" s="54">
        <f>IF(D21="","",D21)</f>
        <v>5</v>
      </c>
      <c r="D9" s="22" t="s">
        <v>71</v>
      </c>
      <c r="E9" s="54">
        <f>IF(D23="","",D23)</f>
        <v>10</v>
      </c>
      <c r="F9" s="56"/>
      <c r="G9" s="57"/>
    </row>
    <row r="10" spans="1:7">
      <c r="B10" s="22" t="s">
        <v>96</v>
      </c>
      <c r="C10" s="54">
        <f>IF(D26="","",D26)</f>
        <v>10</v>
      </c>
      <c r="D10" s="47" t="s">
        <v>100</v>
      </c>
      <c r="E10" s="48">
        <f>IF(D20="","",D20)</f>
        <v>25</v>
      </c>
      <c r="F10" s="58"/>
      <c r="G10" s="59"/>
    </row>
    <row r="11" spans="1:7">
      <c r="B11" s="47" t="s">
        <v>97</v>
      </c>
      <c r="C11" s="48">
        <f>IF(D24="","",D24)</f>
        <v>25</v>
      </c>
      <c r="D11" s="74" t="s">
        <v>99</v>
      </c>
      <c r="E11" s="75">
        <f>IF(D14="","",D14)</f>
        <v>103</v>
      </c>
    </row>
    <row r="12" spans="1:7" ht="18" customHeight="1"/>
    <row r="13" spans="1:7">
      <c r="B13" s="29" t="s">
        <v>37</v>
      </c>
      <c r="C13" s="29" t="s">
        <v>91</v>
      </c>
      <c r="D13" s="29" t="s">
        <v>89</v>
      </c>
      <c r="E13" s="81" t="s">
        <v>41</v>
      </c>
      <c r="F13" s="73" t="s">
        <v>42</v>
      </c>
    </row>
    <row r="14" spans="1:7">
      <c r="B14" s="29" t="s">
        <v>21</v>
      </c>
      <c r="C14" s="30">
        <f>IF(SUM(C15,C20,C24,C29,C36)&lt;&gt;0,SUM(C15,C20,C24,C29,C36),"")</f>
        <v>103</v>
      </c>
      <c r="D14" s="30">
        <f>IF(SUM(D15,D20,D24,D29,D36)&lt;&gt;0,SUM(D15,D20,D24,D29,D36),"")</f>
        <v>103</v>
      </c>
      <c r="E14" s="31"/>
      <c r="F14" s="31"/>
    </row>
    <row r="15" spans="1:7">
      <c r="B15" s="32" t="s">
        <v>22</v>
      </c>
      <c r="C15" s="34">
        <f>IF(SUM(C16:C19)&lt;&gt;0,SUM(C16:C19),"")</f>
        <v>9</v>
      </c>
      <c r="D15" s="28">
        <f>IF(SUM(D16:D19)&lt;&gt;0,SUM(D16:D19),"")</f>
        <v>9</v>
      </c>
      <c r="E15" s="33">
        <f>IF(AND(ISNUMBER(C15),ISNUMBER($C$14)),C15/$C$14,"")</f>
        <v>8.7378640776699032E-2</v>
      </c>
      <c r="F15" s="33">
        <f>IF(AND(ISNUMBER(D15),ISNUMBER($D$14)),D15/$D$14,"")</f>
        <v>8.7378640776699032E-2</v>
      </c>
    </row>
    <row r="16" spans="1:7">
      <c r="B16" s="27" t="s">
        <v>39</v>
      </c>
      <c r="C16" s="34">
        <v>2</v>
      </c>
      <c r="D16" s="21">
        <f>IF(C16="","",C16)</f>
        <v>2</v>
      </c>
      <c r="E16" s="33">
        <f t="shared" ref="E16:E37" si="0">IF(AND(ISNUMBER(C16),ISNUMBER($C$14)),C16/$C$14,"")</f>
        <v>1.9417475728155338E-2</v>
      </c>
      <c r="F16" s="33">
        <f t="shared" ref="F16:F37" si="1">IF(AND(ISNUMBER(D16),ISNUMBER($D$14)),D16/$D$14,"")</f>
        <v>1.9417475728155338E-2</v>
      </c>
    </row>
    <row r="17" spans="2:6">
      <c r="B17" s="27" t="s">
        <v>23</v>
      </c>
      <c r="C17" s="34">
        <v>2</v>
      </c>
      <c r="D17" s="21">
        <f>IF(C17="","",C17)</f>
        <v>2</v>
      </c>
      <c r="E17" s="33">
        <f t="shared" si="0"/>
        <v>1.9417475728155338E-2</v>
      </c>
      <c r="F17" s="33">
        <f t="shared" si="1"/>
        <v>1.9417475728155338E-2</v>
      </c>
    </row>
    <row r="18" spans="2:6">
      <c r="B18" s="27" t="s">
        <v>24</v>
      </c>
      <c r="C18" s="34">
        <v>2</v>
      </c>
      <c r="D18" s="21">
        <f>IF(C18="","",C18)</f>
        <v>2</v>
      </c>
      <c r="E18" s="33">
        <f t="shared" si="0"/>
        <v>1.9417475728155338E-2</v>
      </c>
      <c r="F18" s="33">
        <f t="shared" si="1"/>
        <v>1.9417475728155338E-2</v>
      </c>
    </row>
    <row r="19" spans="2:6">
      <c r="B19" s="27" t="s">
        <v>25</v>
      </c>
      <c r="C19" s="34">
        <v>3</v>
      </c>
      <c r="D19" s="21">
        <f>IF(C19="","",C19)</f>
        <v>3</v>
      </c>
      <c r="E19" s="33">
        <f t="shared" si="0"/>
        <v>2.9126213592233011E-2</v>
      </c>
      <c r="F19" s="33">
        <f t="shared" si="1"/>
        <v>2.9126213592233011E-2</v>
      </c>
    </row>
    <row r="20" spans="2:6">
      <c r="B20" s="32" t="s">
        <v>26</v>
      </c>
      <c r="C20" s="30">
        <f>IF(SUM(C21:C23)&lt;&gt;0,SUM(C21:C23),"")</f>
        <v>25</v>
      </c>
      <c r="D20" s="28">
        <f>IF(SUM(D21:D23)&lt;&gt;0,SUM(D21:D23),"")</f>
        <v>25</v>
      </c>
      <c r="E20" s="33">
        <f t="shared" si="0"/>
        <v>0.24271844660194175</v>
      </c>
      <c r="F20" s="33">
        <f t="shared" si="1"/>
        <v>0.24271844660194175</v>
      </c>
    </row>
    <row r="21" spans="2:6">
      <c r="B21" s="27" t="s">
        <v>27</v>
      </c>
      <c r="C21" s="28">
        <v>5</v>
      </c>
      <c r="D21" s="21">
        <f t="shared" ref="D21:D28" si="2">IF(C21="","",C21)</f>
        <v>5</v>
      </c>
      <c r="E21" s="33">
        <f t="shared" si="0"/>
        <v>4.8543689320388349E-2</v>
      </c>
      <c r="F21" s="33">
        <f t="shared" si="1"/>
        <v>4.8543689320388349E-2</v>
      </c>
    </row>
    <row r="22" spans="2:6">
      <c r="B22" s="27" t="s">
        <v>28</v>
      </c>
      <c r="C22" s="34">
        <v>10</v>
      </c>
      <c r="D22" s="21">
        <f t="shared" si="2"/>
        <v>10</v>
      </c>
      <c r="E22" s="33">
        <f t="shared" si="0"/>
        <v>9.7087378640776698E-2</v>
      </c>
      <c r="F22" s="33">
        <f t="shared" si="1"/>
        <v>9.7087378640776698E-2</v>
      </c>
    </row>
    <row r="23" spans="2:6">
      <c r="B23" s="35" t="s">
        <v>29</v>
      </c>
      <c r="C23" s="28">
        <v>10</v>
      </c>
      <c r="D23" s="21">
        <f t="shared" si="2"/>
        <v>10</v>
      </c>
      <c r="E23" s="33">
        <f t="shared" si="0"/>
        <v>9.7087378640776698E-2</v>
      </c>
      <c r="F23" s="33">
        <f t="shared" si="1"/>
        <v>9.7087378640776698E-2</v>
      </c>
    </row>
    <row r="24" spans="2:6">
      <c r="B24" s="32" t="s">
        <v>30</v>
      </c>
      <c r="C24" s="36">
        <f>IF(SUM(C25:C28)&lt;&gt;0,SUM(C25:C28),"")</f>
        <v>25</v>
      </c>
      <c r="D24" s="36">
        <f>IF(SUM(D25:D28)&lt;&gt;0,SUM(D25:D28),"")</f>
        <v>25</v>
      </c>
      <c r="E24" s="33">
        <f t="shared" si="0"/>
        <v>0.24271844660194175</v>
      </c>
      <c r="F24" s="33">
        <f t="shared" si="1"/>
        <v>0.24271844660194175</v>
      </c>
    </row>
    <row r="25" spans="2:6">
      <c r="B25" s="27" t="s">
        <v>31</v>
      </c>
      <c r="C25" s="34">
        <v>5</v>
      </c>
      <c r="D25" s="21">
        <f t="shared" si="2"/>
        <v>5</v>
      </c>
      <c r="E25" s="33">
        <f t="shared" si="0"/>
        <v>4.8543689320388349E-2</v>
      </c>
      <c r="F25" s="33">
        <f t="shared" si="1"/>
        <v>4.8543689320388349E-2</v>
      </c>
    </row>
    <row r="26" spans="2:6">
      <c r="B26" s="35" t="s">
        <v>30</v>
      </c>
      <c r="C26" s="28">
        <v>10</v>
      </c>
      <c r="D26" s="21">
        <f t="shared" si="2"/>
        <v>10</v>
      </c>
      <c r="E26" s="33">
        <f t="shared" si="0"/>
        <v>9.7087378640776698E-2</v>
      </c>
      <c r="F26" s="33">
        <f t="shared" si="1"/>
        <v>9.7087378640776698E-2</v>
      </c>
    </row>
    <row r="27" spans="2:6">
      <c r="B27" s="27" t="s">
        <v>32</v>
      </c>
      <c r="C27" s="34">
        <v>5</v>
      </c>
      <c r="D27" s="21">
        <f t="shared" si="2"/>
        <v>5</v>
      </c>
      <c r="E27" s="33">
        <f t="shared" si="0"/>
        <v>4.8543689320388349E-2</v>
      </c>
      <c r="F27" s="33">
        <f t="shared" si="1"/>
        <v>4.8543689320388349E-2</v>
      </c>
    </row>
    <row r="28" spans="2:6">
      <c r="B28" s="27" t="s">
        <v>33</v>
      </c>
      <c r="C28" s="34">
        <v>5</v>
      </c>
      <c r="D28" s="21">
        <f t="shared" si="2"/>
        <v>5</v>
      </c>
      <c r="E28" s="33">
        <f t="shared" si="0"/>
        <v>4.8543689320388349E-2</v>
      </c>
      <c r="F28" s="33">
        <f t="shared" si="1"/>
        <v>4.8543689320388349E-2</v>
      </c>
    </row>
    <row r="29" spans="2:6">
      <c r="B29" s="32" t="s">
        <v>81</v>
      </c>
      <c r="C29" s="34">
        <f>IF(SUM(C30:C35)&lt;&gt;0,SUM(C30:C35),"")</f>
        <v>42</v>
      </c>
      <c r="D29" s="36">
        <f>IF(SUM(D30:D35)&lt;&gt;0,SUM(D30:D35),"")</f>
        <v>42</v>
      </c>
      <c r="E29" s="33">
        <f t="shared" si="0"/>
        <v>0.40776699029126212</v>
      </c>
      <c r="F29" s="33">
        <f t="shared" si="1"/>
        <v>0.40776699029126212</v>
      </c>
    </row>
    <row r="30" spans="2:6">
      <c r="B30" s="27" t="s">
        <v>82</v>
      </c>
      <c r="C30" s="34">
        <v>5</v>
      </c>
      <c r="D30" s="21">
        <f t="shared" ref="D30:D40" si="3">IF(C30="","",C30)</f>
        <v>5</v>
      </c>
      <c r="E30" s="33">
        <f t="shared" si="0"/>
        <v>4.8543689320388349E-2</v>
      </c>
      <c r="F30" s="33">
        <f t="shared" si="1"/>
        <v>4.8543689320388349E-2</v>
      </c>
    </row>
    <row r="31" spans="2:6">
      <c r="B31" s="27" t="s">
        <v>83</v>
      </c>
      <c r="C31" s="34">
        <v>10</v>
      </c>
      <c r="D31" s="21">
        <f t="shared" si="3"/>
        <v>10</v>
      </c>
      <c r="E31" s="33">
        <f t="shared" si="0"/>
        <v>9.7087378640776698E-2</v>
      </c>
      <c r="F31" s="33">
        <f t="shared" si="1"/>
        <v>9.7087378640776698E-2</v>
      </c>
    </row>
    <row r="32" spans="2:6">
      <c r="B32" s="27" t="s">
        <v>84</v>
      </c>
      <c r="C32" s="34">
        <v>10</v>
      </c>
      <c r="D32" s="21">
        <f t="shared" si="3"/>
        <v>10</v>
      </c>
      <c r="E32" s="33">
        <f t="shared" si="0"/>
        <v>9.7087378640776698E-2</v>
      </c>
      <c r="F32" s="33">
        <f t="shared" si="1"/>
        <v>9.7087378640776698E-2</v>
      </c>
    </row>
    <row r="33" spans="2:6">
      <c r="B33" s="27" t="s">
        <v>85</v>
      </c>
      <c r="C33" s="34">
        <v>5</v>
      </c>
      <c r="D33" s="21">
        <f t="shared" si="3"/>
        <v>5</v>
      </c>
      <c r="E33" s="33">
        <f t="shared" si="0"/>
        <v>4.8543689320388349E-2</v>
      </c>
      <c r="F33" s="33">
        <f t="shared" si="1"/>
        <v>4.8543689320388349E-2</v>
      </c>
    </row>
    <row r="34" spans="2:6">
      <c r="B34" s="27" t="s">
        <v>86</v>
      </c>
      <c r="C34" s="34">
        <v>7</v>
      </c>
      <c r="D34" s="21">
        <f t="shared" si="3"/>
        <v>7</v>
      </c>
      <c r="E34" s="33">
        <f t="shared" si="0"/>
        <v>6.7961165048543687E-2</v>
      </c>
      <c r="F34" s="33">
        <f t="shared" si="1"/>
        <v>6.7961165048543687E-2</v>
      </c>
    </row>
    <row r="35" spans="2:6">
      <c r="B35" s="27" t="s">
        <v>87</v>
      </c>
      <c r="C35" s="34">
        <v>5</v>
      </c>
      <c r="D35" s="21">
        <f t="shared" si="3"/>
        <v>5</v>
      </c>
      <c r="E35" s="33">
        <f t="shared" si="0"/>
        <v>4.8543689320388349E-2</v>
      </c>
      <c r="F35" s="33">
        <f t="shared" si="1"/>
        <v>4.8543689320388349E-2</v>
      </c>
    </row>
    <row r="36" spans="2:6">
      <c r="B36" s="32" t="s">
        <v>34</v>
      </c>
      <c r="C36" s="34">
        <f>IF(SUM(C37:C40)&lt;&gt;0,SUM(C37:C40),"")</f>
        <v>2</v>
      </c>
      <c r="D36" s="36">
        <f>IF(SUM(D37:D40)&lt;&gt;0,SUM(D37:D40),"")</f>
        <v>2</v>
      </c>
      <c r="E36" s="33">
        <f t="shared" si="0"/>
        <v>1.9417475728155338E-2</v>
      </c>
      <c r="F36" s="33">
        <f t="shared" si="1"/>
        <v>1.9417475728155338E-2</v>
      </c>
    </row>
    <row r="37" spans="2:6">
      <c r="B37" s="27" t="s">
        <v>35</v>
      </c>
      <c r="C37" s="34">
        <v>0.5</v>
      </c>
      <c r="D37" s="21">
        <f t="shared" si="3"/>
        <v>0.5</v>
      </c>
      <c r="E37" s="33">
        <f t="shared" si="0"/>
        <v>4.8543689320388345E-3</v>
      </c>
      <c r="F37" s="33">
        <f t="shared" si="1"/>
        <v>4.8543689320388345E-3</v>
      </c>
    </row>
    <row r="38" spans="2:6">
      <c r="B38" s="27" t="s">
        <v>79</v>
      </c>
      <c r="C38" s="34">
        <v>0.5</v>
      </c>
      <c r="D38" s="21">
        <f t="shared" si="3"/>
        <v>0.5</v>
      </c>
      <c r="E38" s="33">
        <f>IF(AND(ISNUMBER(C38),ISNUMBER($C$14)),C38/$C$14,"")</f>
        <v>4.8543689320388345E-3</v>
      </c>
      <c r="F38" s="33">
        <f>IF(AND(ISNUMBER(D38),ISNUMBER($D$14)),D38/$D$14,"")</f>
        <v>4.8543689320388345E-3</v>
      </c>
    </row>
    <row r="39" spans="2:6">
      <c r="B39" s="27" t="s">
        <v>36</v>
      </c>
      <c r="C39" s="34">
        <v>0.5</v>
      </c>
      <c r="D39" s="21">
        <f t="shared" si="3"/>
        <v>0.5</v>
      </c>
      <c r="E39" s="33">
        <f>IF(AND(ISNUMBER(C39),ISNUMBER($C$14)),C39/$C$14,"")</f>
        <v>4.8543689320388345E-3</v>
      </c>
      <c r="F39" s="33">
        <f>IF(AND(ISNUMBER(D39),ISNUMBER($D$14)),D39/$D$14,"")</f>
        <v>4.8543689320388345E-3</v>
      </c>
    </row>
    <row r="40" spans="2:6">
      <c r="B40" s="27" t="s">
        <v>40</v>
      </c>
      <c r="C40" s="34">
        <v>0.5</v>
      </c>
      <c r="D40" s="21">
        <f t="shared" si="3"/>
        <v>0.5</v>
      </c>
      <c r="E40" s="33">
        <f>IF(AND(ISNUMBER(C40),ISNUMBER($C$14)),C40/$C$14,"")</f>
        <v>4.8543689320388345E-3</v>
      </c>
      <c r="F40" s="33">
        <f>IF(AND(ISNUMBER(D40),ISNUMBER($D$14)),D40/$D$14,"")</f>
        <v>4.8543689320388345E-3</v>
      </c>
    </row>
    <row r="41" spans="2:6">
      <c r="B41" s="37"/>
      <c r="C41" s="38"/>
      <c r="D41" s="38"/>
      <c r="E41" s="39"/>
      <c r="F41" s="40"/>
    </row>
    <row r="42" spans="2:6">
      <c r="C42" s="38"/>
      <c r="D42" s="38"/>
      <c r="E42" s="39"/>
      <c r="F42" s="40"/>
    </row>
  </sheetData>
  <phoneticPr fontId="10" type="noConversion"/>
  <hyperlinks>
    <hyperlink ref="B1" location="Info!A1" display="返回首页"/>
  </hyperlinks>
  <pageMargins left="0.75" right="0.75" top="1" bottom="1" header="0.5" footer="0.5"/>
  <pageSetup paperSize="9" orientation="portrait" r:id="rId1"/>
  <headerFooter alignWithMargins="0">
    <oddHeader>&amp;C&amp;F&amp;R文档密级</oddHeader>
    <oddFooter>&amp;L&amp;D&amp;C华为机密，未经许可不得扩散&amp;R第&amp;P页，共&amp;N页</oddFooter>
  </headerFooter>
  <drawing r:id="rId2"/>
  <legacyDrawing r:id="rId3"/>
  <controls>
    <mc:AlternateContent xmlns:mc="http://schemas.openxmlformats.org/markup-compatibility/2006">
      <mc:Choice Requires="x14">
        <control shapeId="21521" r:id="rId4" name="RefreshFormula">
          <controlPr defaultSize="0" autoLine="0" r:id="rId5">
            <anchor moveWithCells="1">
              <from>
                <xdr:col>1</xdr:col>
                <xdr:colOff>1657350</xdr:colOff>
                <xdr:row>0</xdr:row>
                <xdr:rowOff>133350</xdr:rowOff>
              </from>
              <to>
                <xdr:col>2</xdr:col>
                <xdr:colOff>942975</xdr:colOff>
                <xdr:row>2</xdr:row>
                <xdr:rowOff>85725</xdr:rowOff>
              </to>
            </anchor>
          </controlPr>
        </control>
      </mc:Choice>
      <mc:Fallback>
        <control shapeId="21521" r:id="rId4" name="RefreshFormu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topLeftCell="A4" workbookViewId="0">
      <selection activeCell="K19" sqref="K19"/>
    </sheetView>
  </sheetViews>
  <sheetFormatPr defaultRowHeight="14.25"/>
  <cols>
    <col min="1" max="1" width="29.28515625" style="100" customWidth="1"/>
    <col min="2" max="2" width="23.42578125" style="100" bestFit="1" customWidth="1"/>
    <col min="3" max="3" width="12.5703125" style="100" customWidth="1"/>
    <col min="4" max="4" width="26.7109375" style="100" customWidth="1"/>
    <col min="5" max="16384" width="9.140625" style="100"/>
  </cols>
  <sheetData>
    <row r="1" spans="1:4" ht="23.25" customHeight="1">
      <c r="A1" s="101"/>
      <c r="B1" s="151" t="s">
        <v>143</v>
      </c>
      <c r="C1" s="151"/>
      <c r="D1" s="151"/>
    </row>
    <row r="2" spans="1:4">
      <c r="A2" s="101"/>
      <c r="B2" s="102"/>
      <c r="C2" s="102"/>
      <c r="D2" s="102"/>
    </row>
    <row r="3" spans="1:4">
      <c r="B3" s="105" t="s">
        <v>146</v>
      </c>
      <c r="D3" s="105" t="s">
        <v>147</v>
      </c>
    </row>
    <row r="4" spans="1:4">
      <c r="B4" s="103"/>
      <c r="C4" s="103"/>
      <c r="D4" s="102"/>
    </row>
    <row r="5" spans="1:4">
      <c r="A5" s="104"/>
      <c r="B5" s="150" t="s">
        <v>144</v>
      </c>
      <c r="C5" s="150"/>
      <c r="D5" s="150"/>
    </row>
    <row r="6" spans="1:4">
      <c r="A6" s="104"/>
      <c r="B6" s="102"/>
      <c r="C6" s="102"/>
      <c r="D6" s="102"/>
    </row>
    <row r="7" spans="1:4">
      <c r="A7" s="104"/>
      <c r="B7" s="102"/>
      <c r="C7" s="102"/>
      <c r="D7" s="102"/>
    </row>
    <row r="8" spans="1:4">
      <c r="A8" s="104"/>
      <c r="B8" s="102"/>
      <c r="C8" s="102"/>
      <c r="D8" s="102"/>
    </row>
    <row r="9" spans="1:4">
      <c r="A9" s="104"/>
      <c r="B9" s="102"/>
      <c r="C9" s="102"/>
      <c r="D9" s="102"/>
    </row>
    <row r="15" spans="1:4">
      <c r="B15" s="150" t="s">
        <v>145</v>
      </c>
      <c r="C15" s="150"/>
      <c r="D15" s="150"/>
    </row>
  </sheetData>
  <mergeCells count="3">
    <mergeCell ref="B5:D5"/>
    <mergeCell ref="B15:D15"/>
    <mergeCell ref="B1:D1"/>
  </mergeCells>
  <phoneticPr fontId="29" type="noConversion"/>
  <hyperlinks>
    <hyperlink ref="B3" location="帮助!B5" display="1.测试估计表结构说明"/>
    <hyperlink ref="D3" location="帮助!B15" display="2.各表单使用注意事项"/>
  </hyperlinks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8"/>
  <sheetViews>
    <sheetView workbookViewId="0">
      <selection activeCell="B22" sqref="B22"/>
    </sheetView>
  </sheetViews>
  <sheetFormatPr defaultColWidth="11.42578125" defaultRowHeight="15"/>
  <cols>
    <col min="1" max="1" width="11.42578125" style="55" customWidth="1"/>
    <col min="2" max="2" width="25.5703125" style="55" customWidth="1"/>
    <col min="3" max="3" width="17.85546875" style="55" bestFit="1" customWidth="1"/>
    <col min="4" max="4" width="25.85546875" style="55" customWidth="1"/>
    <col min="5" max="5" width="16.140625" style="55" customWidth="1"/>
    <col min="6" max="16384" width="11.42578125" style="55"/>
  </cols>
  <sheetData>
    <row r="1" spans="1:5">
      <c r="A1" s="82" t="s">
        <v>108</v>
      </c>
      <c r="B1" s="166" t="s">
        <v>109</v>
      </c>
      <c r="C1" s="167"/>
      <c r="D1" s="167"/>
      <c r="E1" s="168"/>
    </row>
    <row r="2" spans="1:5">
      <c r="A2" s="82" t="s">
        <v>110</v>
      </c>
      <c r="B2" s="83" t="s">
        <v>111</v>
      </c>
      <c r="C2" s="169" t="s">
        <v>112</v>
      </c>
      <c r="D2" s="170"/>
      <c r="E2" s="84">
        <v>41000</v>
      </c>
    </row>
    <row r="3" spans="1:5">
      <c r="A3" s="82" t="s">
        <v>113</v>
      </c>
      <c r="B3" s="85"/>
      <c r="C3" s="171" t="s">
        <v>114</v>
      </c>
      <c r="D3" s="86" t="s">
        <v>115</v>
      </c>
      <c r="E3" s="87" t="s">
        <v>116</v>
      </c>
    </row>
    <row r="4" spans="1:5">
      <c r="A4" s="82" t="s">
        <v>117</v>
      </c>
      <c r="B4" s="88" t="s">
        <v>118</v>
      </c>
      <c r="C4" s="172"/>
      <c r="D4" s="86" t="s">
        <v>119</v>
      </c>
      <c r="E4" s="87" t="s">
        <v>120</v>
      </c>
    </row>
    <row r="5" spans="1:5" ht="25.5">
      <c r="A5" s="82" t="s">
        <v>121</v>
      </c>
      <c r="B5" s="88" t="s">
        <v>122</v>
      </c>
      <c r="C5" s="172"/>
      <c r="D5" s="86" t="s">
        <v>123</v>
      </c>
      <c r="E5" s="87" t="s">
        <v>124</v>
      </c>
    </row>
    <row r="6" spans="1:5" ht="38.25">
      <c r="A6" s="82" t="s">
        <v>125</v>
      </c>
      <c r="B6" s="88" t="s">
        <v>126</v>
      </c>
      <c r="C6" s="173"/>
      <c r="D6" s="86" t="s">
        <v>127</v>
      </c>
      <c r="E6" s="87" t="s">
        <v>128</v>
      </c>
    </row>
    <row r="7" spans="1:5">
      <c r="A7" s="82" t="s">
        <v>129</v>
      </c>
      <c r="B7" s="174" t="s">
        <v>130</v>
      </c>
      <c r="C7" s="175"/>
      <c r="D7" s="175"/>
      <c r="E7" s="176"/>
    </row>
    <row r="8" spans="1:5">
      <c r="A8" s="89"/>
      <c r="B8" s="90"/>
      <c r="C8" s="90"/>
      <c r="D8" s="89"/>
      <c r="E8" s="89"/>
    </row>
    <row r="9" spans="1:5" ht="15.75">
      <c r="A9" s="152" t="s">
        <v>131</v>
      </c>
      <c r="B9" s="153"/>
      <c r="C9" s="153"/>
      <c r="D9" s="153"/>
      <c r="E9" s="154"/>
    </row>
    <row r="10" spans="1:5" ht="15.75">
      <c r="A10" s="155" t="s">
        <v>132</v>
      </c>
      <c r="B10" s="156"/>
      <c r="C10" s="157"/>
      <c r="D10" s="158" t="s">
        <v>133</v>
      </c>
      <c r="E10" s="159"/>
    </row>
    <row r="11" spans="1:5">
      <c r="A11" s="160" t="s">
        <v>134</v>
      </c>
      <c r="B11" s="161"/>
      <c r="C11" s="162"/>
      <c r="D11" s="163" t="s">
        <v>135</v>
      </c>
      <c r="E11" s="164"/>
    </row>
    <row r="12" spans="1:5">
      <c r="A12" s="165"/>
      <c r="B12" s="161"/>
      <c r="C12" s="162"/>
      <c r="D12" s="163"/>
      <c r="E12" s="164"/>
    </row>
    <row r="13" spans="1:5">
      <c r="A13" s="89"/>
      <c r="B13" s="89"/>
      <c r="C13" s="89"/>
      <c r="D13" s="89"/>
      <c r="E13" s="89"/>
    </row>
    <row r="14" spans="1:5" ht="15.75">
      <c r="A14" s="152" t="s">
        <v>136</v>
      </c>
      <c r="B14" s="153"/>
      <c r="C14" s="153"/>
      <c r="D14" s="153"/>
      <c r="E14" s="154"/>
    </row>
    <row r="15" spans="1:5">
      <c r="A15" s="91" t="s">
        <v>137</v>
      </c>
      <c r="B15" s="91" t="s">
        <v>138</v>
      </c>
      <c r="C15" s="91" t="s">
        <v>139</v>
      </c>
      <c r="D15" s="91" t="s">
        <v>140</v>
      </c>
      <c r="E15" s="91" t="s">
        <v>141</v>
      </c>
    </row>
    <row r="16" spans="1:5" ht="60.75">
      <c r="A16" s="92" t="s">
        <v>111</v>
      </c>
      <c r="B16" s="88" t="s">
        <v>118</v>
      </c>
      <c r="C16" s="93">
        <v>41000</v>
      </c>
      <c r="D16" s="94" t="s">
        <v>142</v>
      </c>
      <c r="E16" s="95" t="s">
        <v>126</v>
      </c>
    </row>
    <row r="17" spans="1:5">
      <c r="A17" s="96"/>
      <c r="B17" s="97"/>
      <c r="C17" s="98"/>
      <c r="D17" s="99"/>
      <c r="E17" s="99"/>
    </row>
    <row r="18" spans="1:5">
      <c r="A18" s="97"/>
      <c r="B18" s="97"/>
      <c r="C18" s="98"/>
      <c r="D18" s="99"/>
      <c r="E18" s="99"/>
    </row>
  </sheetData>
  <mergeCells count="12">
    <mergeCell ref="B1:E1"/>
    <mergeCell ref="C2:D2"/>
    <mergeCell ref="C3:C6"/>
    <mergeCell ref="B7:E7"/>
    <mergeCell ref="A9:E9"/>
    <mergeCell ref="A14:E14"/>
    <mergeCell ref="A10:C10"/>
    <mergeCell ref="D10:E10"/>
    <mergeCell ref="A11:C11"/>
    <mergeCell ref="D11:E11"/>
    <mergeCell ref="A12:C12"/>
    <mergeCell ref="D12:E12"/>
  </mergeCells>
  <phoneticPr fontId="10" type="noConversion"/>
  <dataValidations count="1">
    <dataValidation type="list" allowBlank="1" showInputMessage="1" showErrorMessage="1" sqref="E5">
      <formula1>$A$26:$A$43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A19" sqref="A19:B19"/>
    </sheetView>
  </sheetViews>
  <sheetFormatPr defaultRowHeight="12.75"/>
  <cols>
    <col min="1" max="1" width="19.85546875" customWidth="1"/>
    <col min="2" max="2" width="78.85546875" customWidth="1"/>
  </cols>
  <sheetData>
    <row r="1" spans="1:2" ht="24" customHeight="1">
      <c r="A1" s="178" t="s">
        <v>2</v>
      </c>
      <c r="B1" s="179"/>
    </row>
    <row r="2" spans="1:2">
      <c r="A2" s="5" t="s">
        <v>3</v>
      </c>
      <c r="B2" s="5" t="s">
        <v>4</v>
      </c>
    </row>
    <row r="3" spans="1:2">
      <c r="A3" s="11"/>
      <c r="B3" s="5" t="s">
        <v>5</v>
      </c>
    </row>
    <row r="4" spans="1:2">
      <c r="A4" s="12"/>
      <c r="B4" s="5" t="s">
        <v>6</v>
      </c>
    </row>
    <row r="5" spans="1:2">
      <c r="A5" s="13"/>
      <c r="B5" s="5" t="s">
        <v>7</v>
      </c>
    </row>
    <row r="6" spans="1:2">
      <c r="A6" s="181"/>
      <c r="B6" s="181"/>
    </row>
    <row r="7" spans="1:2">
      <c r="A7" s="177" t="s">
        <v>13</v>
      </c>
      <c r="B7" s="177" t="s">
        <v>8</v>
      </c>
    </row>
    <row r="8" spans="1:2" ht="26.25" customHeight="1">
      <c r="A8" s="180" t="s">
        <v>18</v>
      </c>
      <c r="B8" s="180" t="s">
        <v>9</v>
      </c>
    </row>
    <row r="9" spans="1:2">
      <c r="A9" s="180" t="s">
        <v>10</v>
      </c>
      <c r="B9" s="180" t="s">
        <v>10</v>
      </c>
    </row>
    <row r="10" spans="1:2">
      <c r="A10" s="180" t="s">
        <v>19</v>
      </c>
      <c r="B10" s="180" t="s">
        <v>11</v>
      </c>
    </row>
    <row r="11" spans="1:2">
      <c r="A11" s="180" t="s">
        <v>14</v>
      </c>
      <c r="B11" s="180" t="s">
        <v>12</v>
      </c>
    </row>
    <row r="12" spans="1:2">
      <c r="A12" s="180"/>
      <c r="B12" s="180"/>
    </row>
    <row r="13" spans="1:2" ht="25.5" customHeight="1">
      <c r="A13" s="177" t="s">
        <v>15</v>
      </c>
      <c r="B13" s="177"/>
    </row>
    <row r="14" spans="1:2">
      <c r="A14" s="180"/>
      <c r="B14" s="180"/>
    </row>
    <row r="15" spans="1:2">
      <c r="A15" s="177"/>
      <c r="B15" s="177"/>
    </row>
    <row r="16" spans="1:2">
      <c r="A16" s="177"/>
      <c r="B16" s="177"/>
    </row>
    <row r="17" spans="1:2">
      <c r="A17" s="177"/>
      <c r="B17" s="177"/>
    </row>
    <row r="18" spans="1:2">
      <c r="A18" s="177"/>
      <c r="B18" s="177"/>
    </row>
    <row r="19" spans="1:2">
      <c r="A19" s="177"/>
      <c r="B19" s="177"/>
    </row>
  </sheetData>
  <sheetProtection sheet="1" objects="1" scenarios="1"/>
  <mergeCells count="15">
    <mergeCell ref="A18:B18"/>
    <mergeCell ref="A19:B19"/>
    <mergeCell ref="A1:B1"/>
    <mergeCell ref="A8:B8"/>
    <mergeCell ref="A9:B9"/>
    <mergeCell ref="A16:B16"/>
    <mergeCell ref="A14:B14"/>
    <mergeCell ref="A15:B15"/>
    <mergeCell ref="A6:B6"/>
    <mergeCell ref="A12:B12"/>
    <mergeCell ref="A13:B13"/>
    <mergeCell ref="A7:B7"/>
    <mergeCell ref="A10:B10"/>
    <mergeCell ref="A11:B11"/>
    <mergeCell ref="A17:B17"/>
  </mergeCells>
  <phoneticPr fontId="10" type="noConversion"/>
  <pageMargins left="0.75" right="0.75" top="1" bottom="1" header="0.5" footer="0.5"/>
  <pageSetup paperSize="9" orientation="portrait" r:id="rId1"/>
  <headerFooter alignWithMargins="0">
    <oddHeader>&amp;L&amp;G&amp;C业务与软件产品线-PJM03T01_Pert Sizing Test Estimation Template&amp;R内部公开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Info</vt:lpstr>
      <vt:lpstr>BasicInfo</vt:lpstr>
      <vt:lpstr>Est</vt:lpstr>
      <vt:lpstr>Effort</vt:lpstr>
      <vt:lpstr>EDC&amp;EDP_FuncList</vt:lpstr>
      <vt:lpstr>EDC&amp;EDP_Est</vt:lpstr>
      <vt:lpstr>EDC&amp;EDP_Effort</vt:lpstr>
      <vt:lpstr>BDI_FuncList</vt:lpstr>
      <vt:lpstr>BDI_Est</vt:lpstr>
      <vt:lpstr>BDI_Effort</vt:lpstr>
      <vt:lpstr>TotalEffort</vt:lpstr>
      <vt:lpstr>帮助</vt:lpstr>
      <vt:lpstr>模板信息</vt:lpstr>
      <vt:lpstr>help</vt:lpstr>
      <vt:lpstr>ConfMod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w26603</dc:creator>
  <cp:lastModifiedBy>wangshuyun (A)</cp:lastModifiedBy>
  <dcterms:created xsi:type="dcterms:W3CDTF">2003-02-26T04:39:57Z</dcterms:created>
  <dcterms:modified xsi:type="dcterms:W3CDTF">2017-08-25T07:30:04Z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(3)EU1WFQ027CzLPvM1kcNLD30+U+MUN3OH984DOXhkfnbbk/iltU8htzPcgFhY+lm5D3UjPV14
5Ct+tHBdrh08PniBFj28thL/5J/wdl1jv/dqMA3oivR2KcfU31LiqKKLAmuL/6NdTTkPnNAz
3WaTzU0TW7HE2Ey865RpAFkcLnMgpVBAbMoBY184NZU8d1NK6rYSpdQgr0hBp//hfaG207Hp
TAE3x5Y2ZYq2QAABvH</vt:lpwstr>
  </property>
  <property fmtid="{D5CDD505-2E9C-101B-9397-08002B2CF9AE}" pid="3" name="_2015_ms_pID_7253431">
    <vt:lpwstr>0WMglUsNGZBjvRzfxVxJu+6eknfNnkOVkgJzgCupz12qf1IAV8FbIE
64nnokz070CZUjzXbqPsZFCkuSfoZblOTFI8lzOUCruGHsk81N/Pyy3JlkG9q9r9RrlatVGf
2xjImUKsiQdcBUToAH6ZT/VAKfD2YHdGtiOm/JMY/FacpqD05hECRZxxdHin1qKSDzExSOww
KIH28tcJk5iPCMN4GdMCfXvNvuTaL0CqyYrV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1503629886</vt:lpwstr>
  </property>
  <property fmtid="{D5CDD505-2E9C-101B-9397-08002B2CF9AE}" pid="8" name="_2015_ms_pID_7253432">
    <vt:lpwstr>GA==</vt:lpwstr>
  </property>
</Properties>
</file>